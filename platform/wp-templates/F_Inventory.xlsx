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cedd6b424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d93922614f684e06"/>
    <x:sheet xmlns:r="http://schemas.openxmlformats.org/officeDocument/2006/relationships" name="Tickmarks" sheetId="2" r:id="R6790583eafb94238"/>
    <x:sheet xmlns:r="http://schemas.openxmlformats.org/officeDocument/2006/relationships" name="Help" sheetId="3" r:id="R2eed36bb118542e8"/>
    <x:sheet xmlns:r="http://schemas.openxmlformats.org/officeDocument/2006/relationships" name="F-01 Observation of physical in" sheetId="4" r:id="R0502c9dad0bf44bc"/>
    <x:sheet xmlns:r="http://schemas.openxmlformats.org/officeDocument/2006/relationships" name="F-02 Confirmation of inventorie" sheetId="5" r:id="Re41619f03da64773"/>
    <x:sheet xmlns:r="http://schemas.openxmlformats.org/officeDocument/2006/relationships" name="F-03 Reconciliation of inventor" sheetId="6" r:id="Rb57a9ad3d43d4bac"/>
    <x:sheet xmlns:r="http://schemas.openxmlformats.org/officeDocument/2006/relationships" name="F-04 Roll-forward procedures –" sheetId="7" r:id="Rae0e4b0ed1e44770"/>
    <x:sheet xmlns:r="http://schemas.openxmlformats.org/officeDocument/2006/relationships" name="F-05 Inventory cut-off" sheetId="8" r:id="R12715e1045ce4244"/>
    <x:sheet xmlns:r="http://schemas.openxmlformats.org/officeDocument/2006/relationships" name="F-06 Valuation in accordance wi" sheetId="9" r:id="Rc9d6760cba58424a"/>
    <x:sheet xmlns:r="http://schemas.openxmlformats.org/officeDocument/2006/relationships" name="F-07 Net realizable value testi" sheetId="10" r:id="Ra17fe6a6ff34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[Red](#,##0);-"/>
  </x:numFmts>
  <x:fonts count="6">
    <x:font>
      <x:sz val="11"/>
      <x:name val="Carlito"/>
    </x:font>
    <x:font>
      <x:sz val="10"/>
      <x:color rgb="FF222222"/>
      <x:name val="Arial"/>
    </x:font>
    <x:font>
      <x:b/>
      <x:sz val="12"/>
      <x:color rgb="FF000000"/>
      <x:name val="Arial"/>
    </x:font>
    <x:font>
      <x:b/>
      <x:sz val="10"/>
      <x:color rgb="FF000000"/>
      <x:name val="Arial"/>
    </x:font>
    <x:font>
      <x:b/>
      <x:sz val="10"/>
      <x:color rgb="FFC00000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AE9F8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1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1" fontId="1" fillId="3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1" fillId="0" borderId="1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/>
    <x:xf numFmtId="0" fontId="3" fillId="2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/>
    <x:xf numFmtId="0" fontId="1" fillId="4" borderId="2" xfId="0" applyNumberFormat="1" applyFont="1" applyFill="1" applyBorder="1"/>
    <x:xf numFmtId="201" fontId="1" fillId="3" borderId="2" xfId="0" applyNumberFormat="1" applyFont="1" applyFill="1" applyBorder="1"/>
    <x:xf numFmtId="201" fontId="1" fillId="4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201" fontId="1" fillId="3" borderId="2" xfId="0" applyNumberFormat="1" applyFont="1" applyFill="1" applyBorder="1" applyAlignment="1">
      <x:alignment wrapText="1"/>
    </x:xf>
    <x:xf numFmtId="201" fontId="1" fillId="4" borderId="2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3" borderId="2" xfId="0" applyNumberFormat="1" applyFont="1" applyFill="1" applyBorder="1"/>
    <x:xf numFmtId="200" fontId="1" fillId="3" borderId="2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b6b8eed6749cb" /><Relationship Type="http://schemas.openxmlformats.org/officeDocument/2006/relationships/theme" Target="/xl/theme/theme1.xml" Id="R83fc1fc38c494f72" /><Relationship Type="http://schemas.openxmlformats.org/officeDocument/2006/relationships/sharedStrings" Target="/xl/sharedStrings.xml" Id="Ra99f031e05d84209" /><Relationship Type="http://schemas.openxmlformats.org/officeDocument/2006/relationships/worksheet" Target="/xl/worksheets/sheet1.xml" Id="Rd93922614f684e06" /><Relationship Type="http://schemas.openxmlformats.org/officeDocument/2006/relationships/worksheet" Target="/xl/worksheets/sheet2.xml" Id="R6790583eafb94238" /><Relationship Type="http://schemas.openxmlformats.org/officeDocument/2006/relationships/worksheet" Target="/xl/worksheets/sheet3.xml" Id="R2eed36bb118542e8" /><Relationship Type="http://schemas.openxmlformats.org/officeDocument/2006/relationships/worksheet" Target="/xl/worksheets/sheet4.xml" Id="R0502c9dad0bf44bc" /><Relationship Type="http://schemas.openxmlformats.org/officeDocument/2006/relationships/worksheet" Target="/xl/worksheets/sheet5.xml" Id="Re41619f03da64773" /><Relationship Type="http://schemas.openxmlformats.org/officeDocument/2006/relationships/worksheet" Target="/xl/worksheets/sheet6.xml" Id="Rb57a9ad3d43d4bac" /><Relationship Type="http://schemas.openxmlformats.org/officeDocument/2006/relationships/worksheet" Target="/xl/worksheets/sheet7.xml" Id="Rae0e4b0ed1e44770" /><Relationship Type="http://schemas.openxmlformats.org/officeDocument/2006/relationships/worksheet" Target="/xl/worksheets/sheet8.xml" Id="R12715e1045ce4244" /><Relationship Type="http://schemas.openxmlformats.org/officeDocument/2006/relationships/worksheet" Target="/xl/worksheets/sheet9.xml" Id="Rc9d6760cba58424a" /><Relationship Type="http://schemas.openxmlformats.org/officeDocument/2006/relationships/worksheet" Target="/xl/worksheets/sheet10.xml" Id="Ra17fe6a6ff344e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" hidden="0" customWidth="1"/>
    <x:col min="4" max="4" width="12" hidden="0" customWidth="1"/>
    <x:col min="5" max="5" width="30" hidden="0" customWidth="1"/>
    <x:col min="6" max="6" width="24" hidden="0" customWidth="1"/>
    <x:col min="7" max="7" width="44" hidden="0" customWidth="1"/>
  </x:cols>
  <x:sheetData>
    <x:row r="1" ht="24" customHeight="1">
      <x:c r="A1" s="3" t="str">
        <x:v>F - Inventory | General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7" t="str">
        <x:v>Entity name</x:v>
      </x:c>
      <x:c r="B3" s="9" t="str">
        <x:v>[Enter entity name]</x:v>
      </x:c>
      <x:c r="C3" s="1"/>
      <x:c r="D3" s="7" t="str">
        <x:v>PSP index</x:v>
      </x:c>
      <x:c r="E3" s="7"/>
      <x:c r="F3" s="7"/>
      <x:c r="G3" s="7"/>
      <x:c r="H3" s="7"/>
      <x:c r="I3" s="7"/>
      <x:c r="J3" s="7"/>
    </x:row>
    <x:row r="4">
      <x:c r="A4" s="7" t="str">
        <x:v>Period end</x:v>
      </x:c>
      <x:c r="B4" s="10"/>
      <x:c r="C4" s="1"/>
      <x:c r="D4" s="13" t="str">
        <x:v>F-01-GL</x:v>
      </x:c>
      <x:c r="E4" s="13" t="str">
        <x:v>Observation of physical inventories</x:v>
      </x:c>
      <x:c r="F4" s="13" t="str">
        <x:v>Existence, completeness, valuation, rights and obligations</x:v>
      </x:c>
      <x:c r="G4" s="13" t="str">
        <x:v>Evaluate the design and execution of management’s physical count and obtain evidence that recorded inventory quantities exist and owned inventory is completely captured.</x:v>
      </x:c>
      <x:c r="H4" s="13"/>
      <x:c r="I4" s="13"/>
      <x:c r="J4" s="13"/>
    </x:row>
    <x:row r="5">
      <x:c r="A5" s="7" t="str">
        <x:v>Currency</x:v>
      </x:c>
      <x:c r="B5" s="9" t="str">
        <x:v>GBP</x:v>
      </x:c>
      <x:c r="C5" s="1"/>
      <x:c r="D5" s="13" t="str">
        <x:v>F-02-GL</x:v>
      </x:c>
      <x:c r="E5" s="13" t="str">
        <x:v>Confirmation of inventories held by others</x:v>
      </x:c>
      <x:c r="F5" s="13" t="str">
        <x:v>Existence, completeness, rights and obligations</x:v>
      </x:c>
      <x:c r="G5" s="13" t="str">
        <x:v>Confirm the quantity, condition and ownership of material inventory held by third parties or on consignment.</x:v>
      </x:c>
      <x:c r="H5" s="13"/>
      <x:c r="I5" s="13"/>
      <x:c r="J5" s="13"/>
    </x:row>
    <x:row r="6">
      <x:c r="A6" s="7" t="str">
        <x:v>Prepared by</x:v>
      </x:c>
      <x:c r="B6" s="9" t="str">
        <x:v>[Name / date]</x:v>
      </x:c>
      <x:c r="C6" s="1"/>
      <x:c r="D6" s="13" t="str">
        <x:v>F-03-GL</x:v>
      </x:c>
      <x:c r="E6" s="13" t="str">
        <x:v>Reconciliation of inventory compilation with general ledger</x:v>
      </x:c>
      <x:c r="F6" s="13" t="str">
        <x:v>Existence, completeness and valuation</x:v>
      </x:c>
      <x:c r="G6" s="13" t="str">
        <x:v>Reconcile the final detailed inventory compilation to the general ledger, trial balance and financial statements.</x:v>
      </x:c>
      <x:c r="H6" s="13"/>
      <x:c r="I6" s="13"/>
      <x:c r="J6" s="13"/>
    </x:row>
    <x:row r="7">
      <x:c r="A7" s="7" t="str">
        <x:v>Reviewed by</x:v>
      </x:c>
      <x:c r="B7" s="9" t="str">
        <x:v>[Name / date]</x:v>
      </x:c>
      <x:c r="C7" s="1"/>
      <x:c r="D7" s="13" t="str">
        <x:v>F-04-GL</x:v>
      </x:c>
      <x:c r="E7" s="13" t="str">
        <x:v>Roll-forward procedures – Inventories</x:v>
      </x:c>
      <x:c r="F7" s="13" t="str">
        <x:v>Existence and valuation</x:v>
      </x:c>
      <x:c r="G7" s="13" t="str">
        <x:v>Bridge inventory work performed at a date other than year-end to the reporting date.</x:v>
      </x:c>
      <x:c r="H7" s="13"/>
      <x:c r="I7" s="13"/>
      <x:c r="J7" s="13"/>
    </x:row>
    <x:row r="8">
      <x:c r="A8" s="7" t="str">
        <x:v>Working paper reference</x:v>
      </x:c>
      <x:c r="B8" s="9" t="str">
        <x:v>F</x:v>
      </x:c>
      <x:c r="C8" s="1"/>
      <x:c r="D8" s="13" t="str">
        <x:v>F-05-GL</x:v>
      </x:c>
      <x:c r="E8" s="13" t="str">
        <x:v>Inventory cut-off</x:v>
      </x:c>
      <x:c r="F8" s="13" t="str">
        <x:v>Existence and completeness</x:v>
      </x:c>
      <x:c r="G8" s="13" t="str">
        <x:v>Determine whether inventory receipts, production, transfers, dispatches and related purchases/sales are recorded in the correct period.</x:v>
      </x:c>
      <x:c r="H8" s="13"/>
      <x:c r="I8" s="13"/>
      <x:c r="J8" s="13"/>
    </x:row>
    <x:row r="9">
      <x:c r="A9" s="7" t="str">
        <x:v>Planning materiality</x:v>
      </x:c>
      <x:c r="B9" s="11"/>
      <x:c r="C9" s="1"/>
      <x:c r="D9" s="13" t="str">
        <x:v>F-06-GL</x:v>
      </x:c>
      <x:c r="E9" s="13" t="str">
        <x:v>Valuation in accordance with accounting policies – Inventories</x:v>
      </x:c>
      <x:c r="F9" s="13" t="str">
        <x:v>Existence, completeness, valuation and presentation</x:v>
      </x:c>
      <x:c r="G9" s="13" t="str">
        <x:v>Determine whether inventory cost is calculated consistently with the accounting policy and excludes abnormal, selling, financing or non-attributable costs.</x:v>
      </x:c>
      <x:c r="H9" s="13"/>
      <x:c r="I9" s="13"/>
      <x:c r="J9" s="13"/>
    </x:row>
    <x:row r="10">
      <x:c r="A10" s="7" t="str">
        <x:v>Tolerable error</x:v>
      </x:c>
      <x:c r="B10" s="11"/>
      <x:c r="C10" s="1"/>
      <x:c r="D10" s="13" t="str">
        <x:v>F-07-GL</x:v>
      </x:c>
      <x:c r="E10" s="13" t="str">
        <x:v>Net realizable value testing – Inventories</x:v>
      </x:c>
      <x:c r="F10" s="13" t="str">
        <x:v>Valuation</x:v>
      </x:c>
      <x:c r="G10" s="13" t="str">
        <x:v>Determine whether inventory is stated at the lower of cost and net realizable value and whether obsolete, slow-moving or damaged items are adequately provided for.</x:v>
      </x:c>
      <x:c r="H10" s="13"/>
      <x:c r="I10" s="13"/>
      <x:c r="J10" s="13"/>
    </x:row>
    <x:row r="11">
      <x:c r="A11" s="7" t="str">
        <x:v>SAD nominal amount</x:v>
      </x:c>
      <x:c r="B11" s="1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J1"/>
    <x:mergeCell ref="D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42" hidden="0" customWidth="1"/>
    <x:col min="4" max="4" width="18" hidden="0" customWidth="1"/>
    <x:col min="5" max="5" width="18" hidden="0" customWidth="1"/>
    <x:col min="6" max="6" width="30" hidden="0" customWidth="1"/>
  </x:cols>
  <x:sheetData>
    <x:row r="1" ht="24" customHeight="1">
      <x:c r="A1" s="3" t="str">
        <x:v>F - Inventory | Tickmarks</x:v>
      </x:c>
      <x:c r="B1" s="3"/>
      <x:c r="C1" s="3"/>
      <x:c r="D1" s="3"/>
      <x:c r="E1" s="3"/>
      <x:c r="F1" s="3"/>
    </x:row>
    <x:row r="2">
      <x:c r="A2" s="1"/>
      <x:c r="B2" s="1"/>
      <x:c r="C2" s="1"/>
      <x:c r="D2" s="1"/>
      <x:c r="E2" s="1"/>
      <x:c r="F2" s="1"/>
    </x:row>
    <x:row r="3">
      <x:c r="A3" s="7" t="str">
        <x:v>Code</x:v>
      </x:c>
      <x:c r="B3" s="7" t="str">
        <x:v>Description</x:v>
      </x:c>
      <x:c r="C3" s="7" t="str">
        <x:v>Typical evidence/use</x:v>
      </x:c>
      <x:c r="D3" s="7" t="str">
        <x:v>Category</x:v>
      </x:c>
      <x:c r="E3" s="7" t="str">
        <x:v>Attribution required</x:v>
      </x:c>
      <x:c r="F3" s="7" t="str">
        <x:v>Notes</x:v>
      </x:c>
    </x:row>
    <x:row r="4">
      <x:c r="A4" s="16" t="str">
        <x:v>TB</x:v>
      </x:c>
      <x:c r="B4" s="15" t="str">
        <x:v>Agreed to trial balance</x:v>
      </x:c>
      <x:c r="C4" s="15" t="str">
        <x:v>Final trial balance</x:v>
      </x:c>
      <x:c r="D4" s="15" t="str">
        <x:v>Audit evidence</x:v>
      </x:c>
      <x:c r="E4" s="15" t="str">
        <x:v>Yes</x:v>
      </x:c>
      <x:c r="F4" s="15" t="str"/>
    </x:row>
    <x:row r="5">
      <x:c r="A5" s="16" t="str">
        <x:v>GL</x:v>
      </x:c>
      <x:c r="B5" s="15" t="str">
        <x:v>Agreed to general ledger</x:v>
      </x:c>
      <x:c r="C5" s="15" t="str">
        <x:v>General ledger/control account</x:v>
      </x:c>
      <x:c r="D5" s="15" t="str">
        <x:v>Audit evidence</x:v>
      </x:c>
      <x:c r="E5" s="15" t="str">
        <x:v>Yes</x:v>
      </x:c>
      <x:c r="F5" s="15" t="str"/>
    </x:row>
    <x:row r="6">
      <x:c r="A6" s="16" t="str">
        <x:v>SL</x:v>
      </x:c>
      <x:c r="B6" s="15" t="str">
        <x:v>Agreed to subledger</x:v>
      </x:c>
      <x:c r="C6" s="15" t="str">
        <x:v>Relevant subledger; specify source</x:v>
      </x:c>
      <x:c r="D6" s="15" t="str">
        <x:v>Audit evidence</x:v>
      </x:c>
      <x:c r="E6" s="15" t="str">
        <x:v>Yes</x:v>
      </x:c>
      <x:c r="F6" s="15" t="str"/>
    </x:row>
    <x:row r="7">
      <x:c r="A7" s="16" t="str">
        <x:v>PY</x:v>
      </x:c>
      <x:c r="B7" s="15" t="str">
        <x:v>Agreed to prior-year audited financial statements/working papers</x:v>
      </x:c>
      <x:c r="C7" s="15" t="str">
        <x:v>Prior-year signed accounts or archive</x:v>
      </x:c>
      <x:c r="D7" s="15" t="str">
        <x:v>Audit evidence</x:v>
      </x:c>
      <x:c r="E7" s="15" t="str">
        <x:v>Yes</x:v>
      </x:c>
      <x:c r="F7" s="15" t="str"/>
    </x:row>
    <x:row r="8">
      <x:c r="A8" s="16" t="str">
        <x:v>FS</x:v>
      </x:c>
      <x:c r="B8" s="15" t="str">
        <x:v>Agreed to current-year financial statements</x:v>
      </x:c>
      <x:c r="C8" s="15" t="str">
        <x:v>Final financial statements</x:v>
      </x:c>
      <x:c r="D8" s="15" t="str">
        <x:v>Audit evidence</x:v>
      </x:c>
      <x:c r="E8" s="15" t="str">
        <x:v>Yes</x:v>
      </x:c>
      <x:c r="F8" s="15" t="str"/>
    </x:row>
    <x:row r="9">
      <x:c r="A9" s="16" t="str">
        <x:v>m</x:v>
      </x:c>
      <x:c r="B9" s="15" t="str">
        <x:v>Movement or amount below testing scope</x:v>
      </x:c>
      <x:c r="C9" s="15" t="str">
        <x:v>Compare with documented scope/SAD</x:v>
      </x:c>
      <x:c r="D9" s="15" t="str">
        <x:v>Audit evidence</x:v>
      </x:c>
      <x:c r="E9" s="15" t="str">
        <x:v>Yes</x:v>
      </x:c>
      <x:c r="F9" s="15" t="str"/>
    </x:row>
    <x:row r="10">
      <x:c r="A10" s="16" t="str">
        <x:v>@</x:v>
      </x:c>
      <x:c r="B10" s="15" t="str">
        <x:v>Correctly calculated</x:v>
      </x:c>
      <x:c r="C10" s="15" t="str">
        <x:v>Independent recalculation</x:v>
      </x:c>
      <x:c r="D10" s="15" t="str">
        <x:v>Audit evidence</x:v>
      </x:c>
      <x:c r="E10" s="15" t="str">
        <x:v>Yes</x:v>
      </x:c>
      <x:c r="F10" s="15" t="str"/>
    </x:row>
    <x:row r="11">
      <x:c r="A11" s="16" t="str">
        <x:v>^</x:v>
      </x:c>
      <x:c r="B11" s="15" t="str">
        <x:v>Footed correctly</x:v>
      </x:c>
      <x:c r="C11" s="15" t="str">
        <x:v>Column total checked</x:v>
      </x:c>
      <x:c r="D11" s="15" t="str">
        <x:v>Audit evidence</x:v>
      </x:c>
      <x:c r="E11" s="15" t="str">
        <x:v>Yes</x:v>
      </x:c>
      <x:c r="F11" s="15" t="str"/>
    </x:row>
    <x:row r="12">
      <x:c r="A12" s="16" t="str">
        <x:v>&lt;</x:v>
      </x:c>
      <x:c r="B12" s="15" t="str">
        <x:v>Cross-footed correctly</x:v>
      </x:c>
      <x:c r="C12" s="15" t="str">
        <x:v>Row total checked</x:v>
      </x:c>
      <x:c r="D12" s="15" t="str">
        <x:v>Audit evidence</x:v>
      </x:c>
      <x:c r="E12" s="15" t="str">
        <x:v>Yes</x:v>
      </x:c>
      <x:c r="F12" s="15" t="str"/>
    </x:row>
    <x:row r="13">
      <x:c r="A13" s="16" t="str">
        <x:v>√1</x:v>
      </x:c>
      <x:c r="B13" s="15" t="str">
        <x:v>Agreed to supporting documentation – type 1</x:v>
      </x:c>
      <x:c r="C13" s="15" t="str">
        <x:v>Identify document in evidence reference</x:v>
      </x:c>
      <x:c r="D13" s="15" t="str">
        <x:v>Audit evidence</x:v>
      </x:c>
      <x:c r="E13" s="15" t="str">
        <x:v>Yes</x:v>
      </x:c>
      <x:c r="F13" s="15" t="str"/>
    </x:row>
    <x:row r="14">
      <x:c r="A14" s="16" t="str">
        <x:v>√2</x:v>
      </x:c>
      <x:c r="B14" s="15" t="str">
        <x:v>Agreed to supporting documentation – type 2</x:v>
      </x:c>
      <x:c r="C14" s="15" t="str">
        <x:v>Identify document in evidence reference</x:v>
      </x:c>
      <x:c r="D14" s="15" t="str">
        <x:v>Audit evidence</x:v>
      </x:c>
      <x:c r="E14" s="15" t="str">
        <x:v>Yes</x:v>
      </x:c>
      <x:c r="F14" s="15" t="str"/>
    </x:row>
    <x:row r="15">
      <x:c r="A15" s="16" t="str">
        <x:v>√3</x:v>
      </x:c>
      <x:c r="B15" s="15" t="str">
        <x:v>Agreed to supporting documentation – type 3</x:v>
      </x:c>
      <x:c r="C15" s="15" t="str">
        <x:v>Identify document in evidence reference</x:v>
      </x:c>
      <x:c r="D15" s="15" t="str">
        <x:v>Audit evidence</x:v>
      </x:c>
      <x:c r="E15" s="15" t="str">
        <x:v>Yes</x:v>
      </x:c>
      <x:c r="F15" s="15" t="str"/>
    </x:row>
    <x:row r="16">
      <x:c r="A16" s="16" t="str">
        <x:v>N/A</x:v>
      </x:c>
      <x:c r="B16" s="15" t="str">
        <x:v>Not applicable</x:v>
      </x:c>
      <x:c r="C16" s="15" t="str">
        <x:v>Explain why</x:v>
      </x:c>
      <x:c r="D16" s="15" t="str">
        <x:v>Audit evidence</x:v>
      </x:c>
      <x:c r="E16" s="15" t="str">
        <x:v>Yes</x:v>
      </x:c>
      <x:c r="F16" s="15" t="str"/>
    </x:row>
    <x:row r="17">
      <x:c r="A17" s="16" t="str">
        <x:v>F</x:v>
      </x:c>
      <x:c r="B17" s="15" t="str">
        <x:v>Footed</x:v>
      </x:c>
      <x:c r="C17" s="15" t="str">
        <x:v>Schedule arithmetic checked</x:v>
      </x:c>
      <x:c r="D17" s="15" t="str">
        <x:v>Audit evidence</x:v>
      </x:c>
      <x:c r="E17" s="15" t="str">
        <x:v>Yes</x:v>
      </x:c>
      <x:c r="F17" s="15" t="str"/>
    </x:row>
    <x:row r="18">
      <x:c r="A18" s="16" t="str">
        <x:v>CF</x:v>
      </x:c>
      <x:c r="B18" s="15" t="str">
        <x:v>Cross-footed</x:v>
      </x:c>
      <x:c r="C18" s="15" t="str">
        <x:v>Schedule cross-casting checked</x:v>
      </x:c>
      <x:c r="D18" s="15" t="str">
        <x:v>Audit evidence</x:v>
      </x:c>
      <x:c r="E18" s="15" t="str">
        <x:v>Yes</x:v>
      </x:c>
      <x:c r="F18" s="15" t="str"/>
    </x:row>
    <x:row r="19">
      <x:c r="A19" s="16" t="str">
        <x:v>C</x:v>
      </x:c>
      <x:c r="B19" s="15" t="str">
        <x:v>Calculation checked and agreed</x:v>
      </x:c>
      <x:c r="C19" s="15" t="str">
        <x:v>Independent cast/recalculation</x:v>
      </x:c>
      <x:c r="D19" s="15" t="str">
        <x:v>Audit evidence</x:v>
      </x:c>
      <x:c r="E19" s="15" t="str">
        <x:v>Yes</x:v>
      </x:c>
      <x:c r="F19" s="15" t="str"/>
    </x:row>
    <x:row r="20">
      <x:c r="A20" s="16" t="str">
        <x:v>R</x:v>
      </x:c>
      <x:c r="B20" s="15" t="str">
        <x:v>Agreed to report</x:v>
      </x:c>
      <x:c r="C20" s="15" t="str">
        <x:v>Supporting report/system output</x:v>
      </x:c>
      <x:c r="D20" s="15" t="str">
        <x:v>Audit evidence</x:v>
      </x:c>
      <x:c r="E20" s="15" t="str">
        <x:v>Yes</x:v>
      </x:c>
      <x:c r="F20" s="15" t="str"/>
    </x:row>
    <x:row r="21">
      <x:c r="A21" s="16" t="str">
        <x:v>CONF</x:v>
      </x:c>
      <x:c r="B21" s="15" t="str">
        <x:v>Agreed to confirmation</x:v>
      </x:c>
      <x:c r="C21" s="15" t="str">
        <x:v>External confirmation controlled by auditor</x:v>
      </x:c>
      <x:c r="D21" s="15" t="str">
        <x:v>Audit evidence</x:v>
      </x:c>
      <x:c r="E21" s="15" t="str">
        <x:v>Yes</x:v>
      </x:c>
      <x:c r="F21" s="15" t="str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3" t="str">
        <x:v>F - Inventory | Help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7" t="str">
        <x:v>How to use this workbook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34" t="str">
        <x:v>Complete General once. Tailor each PSP to the engagement’s assessed risks. Enter evidence only in white cells; light-grey cells are formula-controlled. Select tickmarks from the dropdown, cross-reference evidence, resolve exceptions, quantify misstatements against SAD/tolerable error, and complete the conclusion and review status.</x:v>
      </x:c>
      <x:c r="B4" s="35"/>
      <x:c r="C4" s="35"/>
      <x:c r="D4" s="35"/>
      <x:c r="E4" s="35"/>
      <x:c r="F4" s="35"/>
      <x:c r="G4" s="35"/>
      <x:c r="H4" s="35"/>
      <x:c r="I4" s="35"/>
      <x:c r="J4" s="36"/>
    </x:row>
    <x:row r="5">
      <x:c r="A5" s="37"/>
      <x:c r="B5" s="38"/>
      <x:c r="C5" s="38"/>
      <x:c r="D5" s="38"/>
      <x:c r="E5" s="38"/>
      <x:c r="F5" s="38"/>
      <x:c r="G5" s="38"/>
      <x:c r="H5" s="38"/>
      <x:c r="I5" s="38"/>
      <x:c r="J5" s="39"/>
    </x:row>
    <x:row r="6">
      <x:c r="A6" s="37"/>
      <x:c r="B6" s="38"/>
      <x:c r="C6" s="38"/>
      <x:c r="D6" s="38"/>
      <x:c r="E6" s="38"/>
      <x:c r="F6" s="38"/>
      <x:c r="G6" s="38"/>
      <x:c r="H6" s="38"/>
      <x:c r="I6" s="38"/>
      <x:c r="J6" s="39"/>
    </x:row>
    <x:row r="7">
      <x:c r="A7" s="37"/>
      <x:c r="B7" s="38"/>
      <x:c r="C7" s="38"/>
      <x:c r="D7" s="38"/>
      <x:c r="E7" s="38"/>
      <x:c r="F7" s="38"/>
      <x:c r="G7" s="38"/>
      <x:c r="H7" s="38"/>
      <x:c r="I7" s="38"/>
      <x:c r="J7" s="39"/>
    </x:row>
    <x:row r="8">
      <x:c r="A8" s="40"/>
      <x:c r="B8" s="41"/>
      <x:c r="C8" s="41"/>
      <x:c r="D8" s="41"/>
      <x:c r="E8" s="41"/>
      <x:c r="F8" s="41"/>
      <x:c r="G8" s="41"/>
      <x:c r="H8" s="41"/>
      <x:c r="I8" s="41"/>
      <x:c r="J8" s="42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7" t="str">
        <x:v>Source basis</x:v>
      </x:c>
      <x:c r="B10" s="7"/>
      <x:c r="C10" s="7"/>
      <x:c r="D10" s="7"/>
      <x:c r="E10" s="7"/>
      <x:c r="F10" s="7"/>
      <x:c r="G10" s="7"/>
      <x:c r="H10" s="7"/>
      <x:c r="I10" s="7"/>
      <x:c r="J10" s="7"/>
    </x:row>
    <x:row r="11">
      <x:c r="A11" s="34" t="str">
        <x:v>Cycle objectives and execution guidance were developed from PAA1_Slides Stocks [French PSPs]_CAP 06.09.13.pptx. The source presentation is reference material, not an instruction to the user; this workbook remains a template and must be tailored to the applicable reporting framework, engagement risks and approved audit methodology.</x:v>
      </x:c>
      <x:c r="B11" s="35"/>
      <x:c r="C11" s="35"/>
      <x:c r="D11" s="35"/>
      <x:c r="E11" s="35"/>
      <x:c r="F11" s="35"/>
      <x:c r="G11" s="35"/>
      <x:c r="H11" s="35"/>
      <x:c r="I11" s="35"/>
      <x:c r="J11" s="36"/>
    </x:row>
    <x:row r="12">
      <x:c r="A12" s="37"/>
      <x:c r="B12" s="38"/>
      <x:c r="C12" s="38"/>
      <x:c r="D12" s="38"/>
      <x:c r="E12" s="38"/>
      <x:c r="F12" s="38"/>
      <x:c r="G12" s="38"/>
      <x:c r="H12" s="38"/>
      <x:c r="I12" s="38"/>
      <x:c r="J12" s="39"/>
    </x:row>
    <x:row r="13">
      <x:c r="A13" s="37"/>
      <x:c r="B13" s="38"/>
      <x:c r="C13" s="38"/>
      <x:c r="D13" s="38"/>
      <x:c r="E13" s="38"/>
      <x:c r="F13" s="38"/>
      <x:c r="G13" s="38"/>
      <x:c r="H13" s="38"/>
      <x:c r="I13" s="38"/>
      <x:c r="J13" s="39"/>
    </x:row>
    <x:row r="14">
      <x:c r="A14" s="37"/>
      <x:c r="B14" s="38"/>
      <x:c r="C14" s="38"/>
      <x:c r="D14" s="38"/>
      <x:c r="E14" s="38"/>
      <x:c r="F14" s="38"/>
      <x:c r="G14" s="38"/>
      <x:c r="H14" s="38"/>
      <x:c r="I14" s="38"/>
      <x:c r="J14" s="39"/>
    </x:row>
    <x:row r="15">
      <x:c r="A15" s="40"/>
      <x:c r="B15" s="41"/>
      <x:c r="C15" s="41"/>
      <x:c r="D15" s="41"/>
      <x:c r="E15" s="41"/>
      <x:c r="F15" s="41"/>
      <x:c r="G15" s="41"/>
      <x:c r="H15" s="41"/>
      <x:c r="I15" s="41"/>
      <x:c r="J15" s="42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</x:sheetData>
  <x:mergeCells>
    <x:mergeCell ref="A1:J1"/>
    <x:mergeCell ref="A3:J3"/>
    <x:mergeCell ref="A4:J8"/>
    <x:mergeCell ref="A10:J10"/>
    <x:mergeCell ref="A11:J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F - Inventory | F-01-GL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F-01-GL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(Existence, completeness, valuation, rights and obligations): Evaluate the design and execution of management’s physical count and obtain evidence that recorded inventory quantities exist and owned inventory is completely captured.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Review count instructions and movement controls before attendance. Observe count performance, inspect inventory condition, perform floor-to-sheet and sheet-to-floor test counts, record last/first movement documents, retain copies of count records, and reconcile auditor test counts to the final inventory compilation.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Location / count sheet</x:v>
      </x:c>
      <x:c r="B8" s="48" t="str">
        <x:v>SKU / description</x:v>
      </x:c>
      <x:c r="C8" s="48" t="str">
        <x:v>Test direction</x:v>
      </x:c>
      <x:c r="D8" s="48" t="str">
        <x:v>Client count</x:v>
      </x:c>
      <x:c r="E8" s="48" t="str">
        <x:v>Auditor recount</x:v>
      </x:c>
      <x:c r="F8" s="48" t="str">
        <x:v>Quantity variance</x:v>
      </x:c>
      <x:c r="G8" s="48" t="str">
        <x:v>Unit cost</x:v>
      </x:c>
      <x:c r="H8" s="48" t="str">
        <x:v>Value variance</x:v>
      </x:c>
      <x:c r="I8" s="48" t="str">
        <x:v>Condition / obsolescence</x:v>
      </x:c>
      <x:c r="J8" s="48" t="str">
        <x:v>Count sheet traced to final listing?</x:v>
      </x:c>
      <x:c r="K8" s="48" t="str">
        <x:v>Result</x:v>
      </x:c>
      <x:c r="L8" s="48" t="str">
        <x:v>Tickmarks</x:v>
      </x:c>
    </x:row>
    <x:row r="9">
      <x:c r="A9" s="53"/>
      <x:c r="B9" s="53"/>
      <x:c r="C9" s="53"/>
      <x:c r="D9" s="53"/>
      <x:c r="E9" s="53"/>
      <x:c r="F9" s="54" t="n">
        <x:f>E9-D9</x:f>
        <x:v>0</x:v>
      </x:c>
      <x:c r="G9" s="55"/>
      <x:c r="H9" s="56" t="n">
        <x:f>F9*G9</x:f>
        <x:v>0</x:v>
      </x:c>
      <x:c r="I9" s="53"/>
      <x:c r="J9" s="53"/>
      <x:c r="K9" s="54" t="str">
        <x:f>IF(B9="","",IF(AND(F9=0,J9="Yes"),"Pass","Exception"))</x:f>
      </x:c>
      <x:c r="L9" s="53"/>
    </x:row>
    <x:row r="10">
      <x:c r="A10" s="53"/>
      <x:c r="B10" s="53"/>
      <x:c r="C10" s="53"/>
      <x:c r="D10" s="53"/>
      <x:c r="E10" s="53"/>
      <x:c r="F10" s="54" t="n">
        <x:f>E10-D10</x:f>
        <x:v>0</x:v>
      </x:c>
      <x:c r="G10" s="55"/>
      <x:c r="H10" s="56" t="n">
        <x:f>F10*G10</x:f>
        <x:v>0</x:v>
      </x:c>
      <x:c r="I10" s="53"/>
      <x:c r="J10" s="53"/>
      <x:c r="K10" s="54" t="str">
        <x:f>IF(B10="","",IF(AND(F10=0,J10="Yes"),"Pass","Exception"))</x:f>
      </x:c>
      <x:c r="L10" s="53"/>
    </x:row>
    <x:row r="11">
      <x:c r="A11" s="53"/>
      <x:c r="B11" s="53"/>
      <x:c r="C11" s="53"/>
      <x:c r="D11" s="53"/>
      <x:c r="E11" s="53"/>
      <x:c r="F11" s="54" t="n">
        <x:f>E11-D11</x:f>
        <x:v>0</x:v>
      </x:c>
      <x:c r="G11" s="55"/>
      <x:c r="H11" s="56" t="n">
        <x:f>F11*G11</x:f>
        <x:v>0</x:v>
      </x:c>
      <x:c r="I11" s="53"/>
      <x:c r="J11" s="53"/>
      <x:c r="K11" s="54" t="str">
        <x:f>IF(B11="","",IF(AND(F11=0,J11="Yes"),"Pass","Exception"))</x:f>
      </x:c>
      <x:c r="L11" s="53"/>
    </x:row>
    <x:row r="12">
      <x:c r="A12" s="53"/>
      <x:c r="B12" s="53"/>
      <x:c r="C12" s="53"/>
      <x:c r="D12" s="53"/>
      <x:c r="E12" s="53"/>
      <x:c r="F12" s="54" t="n">
        <x:f>E12-D12</x:f>
        <x:v>0</x:v>
      </x:c>
      <x:c r="G12" s="55"/>
      <x:c r="H12" s="56" t="n">
        <x:f>F12*G12</x:f>
        <x:v>0</x:v>
      </x:c>
      <x:c r="I12" s="53"/>
      <x:c r="J12" s="53"/>
      <x:c r="K12" s="54" t="str">
        <x:f>IF(B12="","",IF(AND(F12=0,J12="Yes"),"Pass","Exception"))</x:f>
      </x:c>
      <x:c r="L12" s="53"/>
    </x:row>
    <x:row r="13">
      <x:c r="A13" s="53"/>
      <x:c r="B13" s="53"/>
      <x:c r="C13" s="53"/>
      <x:c r="D13" s="53"/>
      <x:c r="E13" s="53"/>
      <x:c r="F13" s="54" t="n">
        <x:f>E13-D13</x:f>
        <x:v>0</x:v>
      </x:c>
      <x:c r="G13" s="55"/>
      <x:c r="H13" s="56" t="n">
        <x:f>F13*G13</x:f>
        <x:v>0</x:v>
      </x:c>
      <x:c r="I13" s="53"/>
      <x:c r="J13" s="53"/>
      <x:c r="K13" s="54" t="str">
        <x:f>IF(B13="","",IF(AND(F13=0,J13="Yes"),"Pass","Exception"))</x:f>
      </x:c>
      <x:c r="L13" s="53"/>
    </x:row>
    <x:row r="14">
      <x:c r="A14" s="53"/>
      <x:c r="B14" s="53"/>
      <x:c r="C14" s="53"/>
      <x:c r="D14" s="53"/>
      <x:c r="E14" s="53"/>
      <x:c r="F14" s="54" t="n">
        <x:f>E14-D14</x:f>
        <x:v>0</x:v>
      </x:c>
      <x:c r="G14" s="55"/>
      <x:c r="H14" s="56" t="n">
        <x:f>F14*G14</x:f>
        <x:v>0</x:v>
      </x:c>
      <x:c r="I14" s="53"/>
      <x:c r="J14" s="53"/>
      <x:c r="K14" s="54" t="str">
        <x:f>IF(B14="","",IF(AND(F14=0,J14="Yes"),"Pass","Exception"))</x:f>
      </x:c>
      <x:c r="L14" s="53"/>
    </x:row>
    <x:row r="15">
      <x:c r="A15" s="53"/>
      <x:c r="B15" s="53"/>
      <x:c r="C15" s="53"/>
      <x:c r="D15" s="53"/>
      <x:c r="E15" s="53"/>
      <x:c r="F15" s="54" t="n">
        <x:f>E15-D15</x:f>
        <x:v>0</x:v>
      </x:c>
      <x:c r="G15" s="55"/>
      <x:c r="H15" s="56" t="n">
        <x:f>F15*G15</x:f>
        <x:v>0</x:v>
      </x:c>
      <x:c r="I15" s="53"/>
      <x:c r="J15" s="53"/>
      <x:c r="K15" s="54" t="str">
        <x:f>IF(B15="","",IF(AND(F15=0,J15="Yes"),"Pass","Exception"))</x:f>
      </x:c>
      <x:c r="L15" s="53"/>
    </x:row>
    <x:row r="16">
      <x:c r="A16" s="53"/>
      <x:c r="B16" s="53"/>
      <x:c r="C16" s="53"/>
      <x:c r="D16" s="53"/>
      <x:c r="E16" s="53"/>
      <x:c r="F16" s="54" t="n">
        <x:f>E16-D16</x:f>
        <x:v>0</x:v>
      </x:c>
      <x:c r="G16" s="55"/>
      <x:c r="H16" s="56" t="n">
        <x:f>F16*G16</x:f>
        <x:v>0</x:v>
      </x:c>
      <x:c r="I16" s="53"/>
      <x:c r="J16" s="53"/>
      <x:c r="K16" s="54" t="str">
        <x:f>IF(B16="","",IF(AND(F16=0,J16="Yes"),"Pass","Exception"))</x:f>
      </x:c>
      <x:c r="L16" s="53"/>
    </x:row>
    <x:row r="17">
      <x:c r="A17" s="53"/>
      <x:c r="B17" s="53"/>
      <x:c r="C17" s="53"/>
      <x:c r="D17" s="53"/>
      <x:c r="E17" s="53"/>
      <x:c r="F17" s="54" t="n">
        <x:f>E17-D17</x:f>
        <x:v>0</x:v>
      </x:c>
      <x:c r="G17" s="55"/>
      <x:c r="H17" s="56" t="n">
        <x:f>F17*G17</x:f>
        <x:v>0</x:v>
      </x:c>
      <x:c r="I17" s="53"/>
      <x:c r="J17" s="53"/>
      <x:c r="K17" s="54" t="str">
        <x:f>IF(B17="","",IF(AND(F17=0,J17="Yes"),"Pass","Exception"))</x:f>
      </x:c>
      <x:c r="L17" s="53"/>
    </x:row>
    <x:row r="18">
      <x:c r="A18" s="53"/>
      <x:c r="B18" s="53"/>
      <x:c r="C18" s="53"/>
      <x:c r="D18" s="53"/>
      <x:c r="E18" s="53"/>
      <x:c r="F18" s="54" t="n">
        <x:f>E18-D18</x:f>
        <x:v>0</x:v>
      </x:c>
      <x:c r="G18" s="55"/>
      <x:c r="H18" s="56" t="n">
        <x:f>F18*G18</x:f>
        <x:v>0</x:v>
      </x:c>
      <x:c r="I18" s="53"/>
      <x:c r="J18" s="53"/>
      <x:c r="K18" s="54" t="str">
        <x:f>IF(B18="","",IF(AND(F18=0,J18="Yes"),"Pass","Exception"))</x:f>
      </x:c>
      <x:c r="L18" s="53"/>
    </x:row>
    <x:row r="19">
      <x:c r="A19" s="53"/>
      <x:c r="B19" s="53"/>
      <x:c r="C19" s="53"/>
      <x:c r="D19" s="53"/>
      <x:c r="E19" s="53"/>
      <x:c r="F19" s="54" t="n">
        <x:f>E19-D19</x:f>
        <x:v>0</x:v>
      </x:c>
      <x:c r="G19" s="55"/>
      <x:c r="H19" s="56" t="n">
        <x:f>F19*G19</x:f>
        <x:v>0</x:v>
      </x:c>
      <x:c r="I19" s="53"/>
      <x:c r="J19" s="53"/>
      <x:c r="K19" s="54" t="str">
        <x:f>IF(B19="","",IF(AND(F19=0,J19="Yes"),"Pass","Exception"))</x:f>
      </x:c>
      <x:c r="L19" s="53"/>
    </x:row>
    <x:row r="20">
      <x:c r="A20" s="53"/>
      <x:c r="B20" s="53"/>
      <x:c r="C20" s="53"/>
      <x:c r="D20" s="53"/>
      <x:c r="E20" s="53"/>
      <x:c r="F20" s="54" t="n">
        <x:f>E20-D20</x:f>
        <x:v>0</x:v>
      </x:c>
      <x:c r="G20" s="55"/>
      <x:c r="H20" s="56" t="n">
        <x:f>F20*G20</x:f>
        <x:v>0</x:v>
      </x:c>
      <x:c r="I20" s="53"/>
      <x:c r="J20" s="53"/>
      <x:c r="K20" s="54" t="str">
        <x:f>IF(B20="","",IF(AND(F20=0,J20="Yes"),"Pass","Exception"))</x:f>
      </x:c>
      <x:c r="L20" s="53"/>
    </x:row>
    <x:row r="21">
      <x:c r="A21" s="53"/>
      <x:c r="B21" s="53"/>
      <x:c r="C21" s="53"/>
      <x:c r="D21" s="53"/>
      <x:c r="E21" s="53"/>
      <x:c r="F21" s="54" t="n">
        <x:f>E21-D21</x:f>
        <x:v>0</x:v>
      </x:c>
      <x:c r="G21" s="55"/>
      <x:c r="H21" s="56" t="n">
        <x:f>F21*G21</x:f>
        <x:v>0</x:v>
      </x:c>
      <x:c r="I21" s="53"/>
      <x:c r="J21" s="53"/>
      <x:c r="K21" s="54" t="str">
        <x:f>IF(B21="","",IF(AND(F21=0,J21="Yes"),"Pass","Exception"))</x:f>
      </x:c>
      <x:c r="L21" s="53"/>
    </x:row>
    <x:row r="22">
      <x:c r="A22" s="53"/>
      <x:c r="B22" s="53"/>
      <x:c r="C22" s="53"/>
      <x:c r="D22" s="53"/>
      <x:c r="E22" s="53"/>
      <x:c r="F22" s="54" t="n">
        <x:f>E22-D22</x:f>
        <x:v>0</x:v>
      </x:c>
      <x:c r="G22" s="55"/>
      <x:c r="H22" s="56" t="n">
        <x:f>F22*G22</x:f>
        <x:v>0</x:v>
      </x:c>
      <x:c r="I22" s="53"/>
      <x:c r="J22" s="53"/>
      <x:c r="K22" s="54" t="str">
        <x:f>IF(B22="","",IF(AND(F22=0,J22="Yes"),"Pass","Exception"))</x:f>
      </x:c>
      <x:c r="L22" s="53"/>
    </x:row>
    <x:row r="23">
      <x:c r="A23" s="53"/>
      <x:c r="B23" s="53"/>
      <x:c r="C23" s="53"/>
      <x:c r="D23" s="53"/>
      <x:c r="E23" s="53"/>
      <x:c r="F23" s="54" t="n">
        <x:f>E23-D23</x:f>
        <x:v>0</x:v>
      </x:c>
      <x:c r="G23" s="55"/>
      <x:c r="H23" s="56" t="n">
        <x:f>F23*G23</x:f>
        <x:v>0</x:v>
      </x:c>
      <x:c r="I23" s="53"/>
      <x:c r="J23" s="53"/>
      <x:c r="K23" s="54" t="str">
        <x:f>IF(B23="","",IF(AND(F23=0,J23="Yes"),"Pass","Exception"))</x:f>
      </x:c>
      <x:c r="L23" s="53"/>
    </x:row>
    <x:row r="24">
      <x:c r="A24" s="53"/>
      <x:c r="B24" s="53"/>
      <x:c r="C24" s="53"/>
      <x:c r="D24" s="53"/>
      <x:c r="E24" s="53"/>
      <x:c r="F24" s="54" t="n">
        <x:f>E24-D24</x:f>
        <x:v>0</x:v>
      </x:c>
      <x:c r="G24" s="55"/>
      <x:c r="H24" s="56" t="n">
        <x:f>F24*G24</x:f>
        <x:v>0</x:v>
      </x:c>
      <x:c r="I24" s="53"/>
      <x:c r="J24" s="53"/>
      <x:c r="K24" s="54" t="str">
        <x:f>IF(B24="","",IF(AND(F24=0,J24="Yes"),"Pass","Exception"))</x:f>
      </x:c>
      <x:c r="L24" s="53"/>
    </x:row>
    <x:row r="25">
      <x:c r="A25" s="53"/>
      <x:c r="B25" s="53"/>
      <x:c r="C25" s="53"/>
      <x:c r="D25" s="53"/>
      <x:c r="E25" s="53"/>
      <x:c r="F25" s="54" t="n">
        <x:f>E25-D25</x:f>
        <x:v>0</x:v>
      </x:c>
      <x:c r="G25" s="55"/>
      <x:c r="H25" s="56" t="n">
        <x:f>F25*G25</x:f>
        <x:v>0</x:v>
      </x:c>
      <x:c r="I25" s="53"/>
      <x:c r="J25" s="53"/>
      <x:c r="K25" s="54" t="str">
        <x:f>IF(B25="","",IF(AND(F25=0,J25="Yes"),"Pass","Exception"))</x:f>
      </x:c>
      <x:c r="L25" s="53"/>
    </x:row>
    <x:row r="26">
      <x:c r="A26" s="53"/>
      <x:c r="B26" s="53"/>
      <x:c r="C26" s="53"/>
      <x:c r="D26" s="53"/>
      <x:c r="E26" s="53"/>
      <x:c r="F26" s="54" t="n">
        <x:f>E26-D26</x:f>
        <x:v>0</x:v>
      </x:c>
      <x:c r="G26" s="55"/>
      <x:c r="H26" s="56" t="n">
        <x:f>F26*G26</x:f>
        <x:v>0</x:v>
      </x:c>
      <x:c r="I26" s="53"/>
      <x:c r="J26" s="53"/>
      <x:c r="K26" s="54" t="str">
        <x:f>IF(B26="","",IF(AND(F26=0,J26="Yes"),"Pass","Exception"))</x:f>
      </x:c>
      <x:c r="L26" s="53"/>
    </x:row>
    <x:row r="27">
      <x:c r="A27" s="53"/>
      <x:c r="B27" s="53"/>
      <x:c r="C27" s="53"/>
      <x:c r="D27" s="53"/>
      <x:c r="E27" s="53"/>
      <x:c r="F27" s="54" t="n">
        <x:f>E27-D27</x:f>
        <x:v>0</x:v>
      </x:c>
      <x:c r="G27" s="55"/>
      <x:c r="H27" s="56" t="n">
        <x:f>F27*G27</x:f>
        <x:v>0</x:v>
      </x:c>
      <x:c r="I27" s="53"/>
      <x:c r="J27" s="53"/>
      <x:c r="K27" s="54" t="str">
        <x:f>IF(B27="","",IF(AND(F27=0,J27="Yes"),"Pass","Exception"))</x:f>
      </x:c>
      <x:c r="L27" s="53"/>
    </x:row>
    <x:row r="28">
      <x:c r="A28" s="53"/>
      <x:c r="B28" s="53"/>
      <x:c r="C28" s="53"/>
      <x:c r="D28" s="53"/>
      <x:c r="E28" s="53"/>
      <x:c r="F28" s="54" t="n">
        <x:f>E28-D28</x:f>
        <x:v>0</x:v>
      </x:c>
      <x:c r="G28" s="55"/>
      <x:c r="H28" s="56" t="n">
        <x:f>F28*G28</x:f>
        <x:v>0</x:v>
      </x:c>
      <x:c r="I28" s="53"/>
      <x:c r="J28" s="53"/>
      <x:c r="K28" s="54" t="str">
        <x:f>IF(B28="","",IF(AND(F28=0,J28="Yes"),"Pass","Exception"))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F-01-GL: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0" priority="1" operator="containsText" text="Exception"/>
    <x:cfRule type="containsText" dxfId="1" priority="2" operator="containsText" text="Investigate"/>
  </x:conditionalFormatting>
  <x:dataValidations count="4">
    <x:dataValidation type="list" sqref="J3">
      <x:formula1>"Not started,In progress,Prepared,Reviewed"</x:formula1>
    </x:dataValidation>
    <x:dataValidation type="list" sqref="C9:C28">
      <x:formula1>"Sheet-to-floor,Floor-to-sheet"</x:formula1>
    </x:dataValidation>
    <x:dataValidation type="list" sqref="J9:J28">
      <x:formula1>"Yes,No,N/A"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F - Inventory | F-02-GL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F-02-GL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(Existence, completeness, rights and obligations): Confirm the quantity, condition and ownership of material inventory held by third parties or on consignment.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Obtain a complete third-party inventory listing, agree it to the compilation, select locations/items by value and risk, maintain control over confirmation dispatch and receipt, investigate differences and non-responses through alternative evidence such as warehouse statements, contracts, subsequent movements or inspection.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Third party / location</x:v>
      </x:c>
      <x:c r="B8" s="48" t="str">
        <x:v>SKU / description</x:v>
      </x:c>
      <x:c r="C8" s="48" t="str">
        <x:v>Book quantity</x:v>
      </x:c>
      <x:c r="D8" s="48" t="str">
        <x:v>Confirmed quantity</x:v>
      </x:c>
      <x:c r="E8" s="48" t="str">
        <x:v>Quantity difference</x:v>
      </x:c>
      <x:c r="F8" s="48" t="str">
        <x:v>Unit cost</x:v>
      </x:c>
      <x:c r="G8" s="48" t="str">
        <x:v>Value difference</x:v>
      </x:c>
      <x:c r="H8" s="48" t="str">
        <x:v>Response status</x:v>
      </x:c>
      <x:c r="I8" s="48" t="str">
        <x:v>Ownership / lien terms</x:v>
      </x:c>
      <x:c r="J8" s="48" t="str">
        <x:v>Alternative evidence</x:v>
      </x:c>
      <x:c r="K8" s="48" t="str">
        <x:v>Result</x:v>
      </x:c>
      <x:c r="L8" s="48" t="str">
        <x:v>Tickmarks</x:v>
      </x:c>
    </x:row>
    <x:row r="9">
      <x:c r="A9" s="53"/>
      <x:c r="B9" s="53"/>
      <x:c r="C9" s="53"/>
      <x:c r="D9" s="53"/>
      <x:c r="E9" s="54" t="n">
        <x:f>D9-C9</x:f>
        <x:v>0</x:v>
      </x:c>
      <x:c r="F9" s="55"/>
      <x:c r="G9" s="56" t="n">
        <x:f>E9*F9</x:f>
        <x:v>0</x:v>
      </x:c>
      <x:c r="H9" s="53"/>
      <x:c r="I9" s="53"/>
      <x:c r="J9" s="53"/>
      <x:c r="K9" s="54" t="str">
        <x:f>IF(A9="","",IF(AND(ABS(G9)&lt;='General'!$B$11,OR(H9="Received",H9="Alternative complete")),"Cleared","Exception"))</x:f>
      </x:c>
      <x:c r="L9" s="53"/>
    </x:row>
    <x:row r="10">
      <x:c r="A10" s="53"/>
      <x:c r="B10" s="53"/>
      <x:c r="C10" s="53"/>
      <x:c r="D10" s="53"/>
      <x:c r="E10" s="54" t="n">
        <x:f>D10-C10</x:f>
        <x:v>0</x:v>
      </x:c>
      <x:c r="F10" s="55"/>
      <x:c r="G10" s="56" t="n">
        <x:f>E10*F10</x:f>
        <x:v>0</x:v>
      </x:c>
      <x:c r="H10" s="53"/>
      <x:c r="I10" s="53"/>
      <x:c r="J10" s="53"/>
      <x:c r="K10" s="54" t="str">
        <x:f>IF(A10="","",IF(AND(ABS(G10)&lt;='General'!$B$11,OR(H10="Received",H10="Alternative complete")),"Cleared","Exception"))</x:f>
      </x:c>
      <x:c r="L10" s="53"/>
    </x:row>
    <x:row r="11">
      <x:c r="A11" s="53"/>
      <x:c r="B11" s="53"/>
      <x:c r="C11" s="53"/>
      <x:c r="D11" s="53"/>
      <x:c r="E11" s="54" t="n">
        <x:f>D11-C11</x:f>
        <x:v>0</x:v>
      </x:c>
      <x:c r="F11" s="55"/>
      <x:c r="G11" s="56" t="n">
        <x:f>E11*F11</x:f>
        <x:v>0</x:v>
      </x:c>
      <x:c r="H11" s="53"/>
      <x:c r="I11" s="53"/>
      <x:c r="J11" s="53"/>
      <x:c r="K11" s="54" t="str">
        <x:f>IF(A11="","",IF(AND(ABS(G11)&lt;='General'!$B$11,OR(H11="Received",H11="Alternative complete")),"Cleared","Exception"))</x:f>
      </x:c>
      <x:c r="L11" s="53"/>
    </x:row>
    <x:row r="12">
      <x:c r="A12" s="53"/>
      <x:c r="B12" s="53"/>
      <x:c r="C12" s="53"/>
      <x:c r="D12" s="53"/>
      <x:c r="E12" s="54" t="n">
        <x:f>D12-C12</x:f>
        <x:v>0</x:v>
      </x:c>
      <x:c r="F12" s="55"/>
      <x:c r="G12" s="56" t="n">
        <x:f>E12*F12</x:f>
        <x:v>0</x:v>
      </x:c>
      <x:c r="H12" s="53"/>
      <x:c r="I12" s="53"/>
      <x:c r="J12" s="53"/>
      <x:c r="K12" s="54" t="str">
        <x:f>IF(A12="","",IF(AND(ABS(G12)&lt;='General'!$B$11,OR(H12="Received",H12="Alternative complete")),"Cleared","Exception"))</x:f>
      </x:c>
      <x:c r="L12" s="53"/>
    </x:row>
    <x:row r="13">
      <x:c r="A13" s="53"/>
      <x:c r="B13" s="53"/>
      <x:c r="C13" s="53"/>
      <x:c r="D13" s="53"/>
      <x:c r="E13" s="54" t="n">
        <x:f>D13-C13</x:f>
        <x:v>0</x:v>
      </x:c>
      <x:c r="F13" s="55"/>
      <x:c r="G13" s="56" t="n">
        <x:f>E13*F13</x:f>
        <x:v>0</x:v>
      </x:c>
      <x:c r="H13" s="53"/>
      <x:c r="I13" s="53"/>
      <x:c r="J13" s="53"/>
      <x:c r="K13" s="54" t="str">
        <x:f>IF(A13="","",IF(AND(ABS(G13)&lt;='General'!$B$11,OR(H13="Received",H13="Alternative complete")),"Cleared","Exception"))</x:f>
      </x:c>
      <x:c r="L13" s="53"/>
    </x:row>
    <x:row r="14">
      <x:c r="A14" s="53"/>
      <x:c r="B14" s="53"/>
      <x:c r="C14" s="53"/>
      <x:c r="D14" s="53"/>
      <x:c r="E14" s="54" t="n">
        <x:f>D14-C14</x:f>
        <x:v>0</x:v>
      </x:c>
      <x:c r="F14" s="55"/>
      <x:c r="G14" s="56" t="n">
        <x:f>E14*F14</x:f>
        <x:v>0</x:v>
      </x:c>
      <x:c r="H14" s="53"/>
      <x:c r="I14" s="53"/>
      <x:c r="J14" s="53"/>
      <x:c r="K14" s="54" t="str">
        <x:f>IF(A14="","",IF(AND(ABS(G14)&lt;='General'!$B$11,OR(H14="Received",H14="Alternative complete")),"Cleared","Exception"))</x:f>
      </x:c>
      <x:c r="L14" s="53"/>
    </x:row>
    <x:row r="15">
      <x:c r="A15" s="53"/>
      <x:c r="B15" s="53"/>
      <x:c r="C15" s="53"/>
      <x:c r="D15" s="53"/>
      <x:c r="E15" s="54" t="n">
        <x:f>D15-C15</x:f>
        <x:v>0</x:v>
      </x:c>
      <x:c r="F15" s="55"/>
      <x:c r="G15" s="56" t="n">
        <x:f>E15*F15</x:f>
        <x:v>0</x:v>
      </x:c>
      <x:c r="H15" s="53"/>
      <x:c r="I15" s="53"/>
      <x:c r="J15" s="53"/>
      <x:c r="K15" s="54" t="str">
        <x:f>IF(A15="","",IF(AND(ABS(G15)&lt;='General'!$B$11,OR(H15="Received",H15="Alternative complete")),"Cleared","Exception"))</x:f>
      </x:c>
      <x:c r="L15" s="53"/>
    </x:row>
    <x:row r="16">
      <x:c r="A16" s="53"/>
      <x:c r="B16" s="53"/>
      <x:c r="C16" s="53"/>
      <x:c r="D16" s="53"/>
      <x:c r="E16" s="54" t="n">
        <x:f>D16-C16</x:f>
        <x:v>0</x:v>
      </x:c>
      <x:c r="F16" s="55"/>
      <x:c r="G16" s="56" t="n">
        <x:f>E16*F16</x:f>
        <x:v>0</x:v>
      </x:c>
      <x:c r="H16" s="53"/>
      <x:c r="I16" s="53"/>
      <x:c r="J16" s="53"/>
      <x:c r="K16" s="54" t="str">
        <x:f>IF(A16="","",IF(AND(ABS(G16)&lt;='General'!$B$11,OR(H16="Received",H16="Alternative complete")),"Cleared","Exception"))</x:f>
      </x:c>
      <x:c r="L16" s="53"/>
    </x:row>
    <x:row r="17">
      <x:c r="A17" s="53"/>
      <x:c r="B17" s="53"/>
      <x:c r="C17" s="53"/>
      <x:c r="D17" s="53"/>
      <x:c r="E17" s="54" t="n">
        <x:f>D17-C17</x:f>
        <x:v>0</x:v>
      </x:c>
      <x:c r="F17" s="55"/>
      <x:c r="G17" s="56" t="n">
        <x:f>E17*F17</x:f>
        <x:v>0</x:v>
      </x:c>
      <x:c r="H17" s="53"/>
      <x:c r="I17" s="53"/>
      <x:c r="J17" s="53"/>
      <x:c r="K17" s="54" t="str">
        <x:f>IF(A17="","",IF(AND(ABS(G17)&lt;='General'!$B$11,OR(H17="Received",H17="Alternative complete")),"Cleared","Exception"))</x:f>
      </x:c>
      <x:c r="L17" s="53"/>
    </x:row>
    <x:row r="18">
      <x:c r="A18" s="53"/>
      <x:c r="B18" s="53"/>
      <x:c r="C18" s="53"/>
      <x:c r="D18" s="53"/>
      <x:c r="E18" s="54" t="n">
        <x:f>D18-C18</x:f>
        <x:v>0</x:v>
      </x:c>
      <x:c r="F18" s="55"/>
      <x:c r="G18" s="56" t="n">
        <x:f>E18*F18</x:f>
        <x:v>0</x:v>
      </x:c>
      <x:c r="H18" s="53"/>
      <x:c r="I18" s="53"/>
      <x:c r="J18" s="53"/>
      <x:c r="K18" s="54" t="str">
        <x:f>IF(A18="","",IF(AND(ABS(G18)&lt;='General'!$B$11,OR(H18="Received",H18="Alternative complete")),"Cleared","Exception"))</x:f>
      </x:c>
      <x:c r="L18" s="53"/>
    </x:row>
    <x:row r="19">
      <x:c r="A19" s="53"/>
      <x:c r="B19" s="53"/>
      <x:c r="C19" s="53"/>
      <x:c r="D19" s="53"/>
      <x:c r="E19" s="54" t="n">
        <x:f>D19-C19</x:f>
        <x:v>0</x:v>
      </x:c>
      <x:c r="F19" s="55"/>
      <x:c r="G19" s="56" t="n">
        <x:f>E19*F19</x:f>
        <x:v>0</x:v>
      </x:c>
      <x:c r="H19" s="53"/>
      <x:c r="I19" s="53"/>
      <x:c r="J19" s="53"/>
      <x:c r="K19" s="54" t="str">
        <x:f>IF(A19="","",IF(AND(ABS(G19)&lt;='General'!$B$11,OR(H19="Received",H19="Alternative complete")),"Cleared","Exception"))</x:f>
      </x:c>
      <x:c r="L19" s="53"/>
    </x:row>
    <x:row r="20">
      <x:c r="A20" s="53"/>
      <x:c r="B20" s="53"/>
      <x:c r="C20" s="53"/>
      <x:c r="D20" s="53"/>
      <x:c r="E20" s="54" t="n">
        <x:f>D20-C20</x:f>
        <x:v>0</x:v>
      </x:c>
      <x:c r="F20" s="55"/>
      <x:c r="G20" s="56" t="n">
        <x:f>E20*F20</x:f>
        <x:v>0</x:v>
      </x:c>
      <x:c r="H20" s="53"/>
      <x:c r="I20" s="53"/>
      <x:c r="J20" s="53"/>
      <x:c r="K20" s="54" t="str">
        <x:f>IF(A20="","",IF(AND(ABS(G20)&lt;='General'!$B$11,OR(H20="Received",H20="Alternative complete")),"Cleared","Exception"))</x:f>
      </x:c>
      <x:c r="L20" s="53"/>
    </x:row>
    <x:row r="21">
      <x:c r="A21" s="53"/>
      <x:c r="B21" s="53"/>
      <x:c r="C21" s="53"/>
      <x:c r="D21" s="53"/>
      <x:c r="E21" s="54" t="n">
        <x:f>D21-C21</x:f>
        <x:v>0</x:v>
      </x:c>
      <x:c r="F21" s="55"/>
      <x:c r="G21" s="56" t="n">
        <x:f>E21*F21</x:f>
        <x:v>0</x:v>
      </x:c>
      <x:c r="H21" s="53"/>
      <x:c r="I21" s="53"/>
      <x:c r="J21" s="53"/>
      <x:c r="K21" s="54" t="str">
        <x:f>IF(A21="","",IF(AND(ABS(G21)&lt;='General'!$B$11,OR(H21="Received",H21="Alternative complete")),"Cleared","Exception"))</x:f>
      </x:c>
      <x:c r="L21" s="53"/>
    </x:row>
    <x:row r="22">
      <x:c r="A22" s="53"/>
      <x:c r="B22" s="53"/>
      <x:c r="C22" s="53"/>
      <x:c r="D22" s="53"/>
      <x:c r="E22" s="54" t="n">
        <x:f>D22-C22</x:f>
        <x:v>0</x:v>
      </x:c>
      <x:c r="F22" s="55"/>
      <x:c r="G22" s="56" t="n">
        <x:f>E22*F22</x:f>
        <x:v>0</x:v>
      </x:c>
      <x:c r="H22" s="53"/>
      <x:c r="I22" s="53"/>
      <x:c r="J22" s="53"/>
      <x:c r="K22" s="54" t="str">
        <x:f>IF(A22="","",IF(AND(ABS(G22)&lt;='General'!$B$11,OR(H22="Received",H22="Alternative complete")),"Cleared","Exception"))</x:f>
      </x:c>
      <x:c r="L22" s="53"/>
    </x:row>
    <x:row r="23">
      <x:c r="A23" s="53"/>
      <x:c r="B23" s="53"/>
      <x:c r="C23" s="53"/>
      <x:c r="D23" s="53"/>
      <x:c r="E23" s="54" t="n">
        <x:f>D23-C23</x:f>
        <x:v>0</x:v>
      </x:c>
      <x:c r="F23" s="55"/>
      <x:c r="G23" s="56" t="n">
        <x:f>E23*F23</x:f>
        <x:v>0</x:v>
      </x:c>
      <x:c r="H23" s="53"/>
      <x:c r="I23" s="53"/>
      <x:c r="J23" s="53"/>
      <x:c r="K23" s="54" t="str">
        <x:f>IF(A23="","",IF(AND(ABS(G23)&lt;='General'!$B$11,OR(H23="Received",H23="Alternative complete")),"Cleared","Exception"))</x:f>
      </x:c>
      <x:c r="L23" s="53"/>
    </x:row>
    <x:row r="24">
      <x:c r="A24" s="53"/>
      <x:c r="B24" s="53"/>
      <x:c r="C24" s="53"/>
      <x:c r="D24" s="53"/>
      <x:c r="E24" s="54" t="n">
        <x:f>D24-C24</x:f>
        <x:v>0</x:v>
      </x:c>
      <x:c r="F24" s="55"/>
      <x:c r="G24" s="56" t="n">
        <x:f>E24*F24</x:f>
        <x:v>0</x:v>
      </x:c>
      <x:c r="H24" s="53"/>
      <x:c r="I24" s="53"/>
      <x:c r="J24" s="53"/>
      <x:c r="K24" s="54" t="str">
        <x:f>IF(A24="","",IF(AND(ABS(G24)&lt;='General'!$B$11,OR(H24="Received",H24="Alternative complete")),"Cleared","Exception"))</x:f>
      </x:c>
      <x:c r="L24" s="53"/>
    </x:row>
    <x:row r="25">
      <x:c r="A25" s="53"/>
      <x:c r="B25" s="53"/>
      <x:c r="C25" s="53"/>
      <x:c r="D25" s="53"/>
      <x:c r="E25" s="54" t="n">
        <x:f>D25-C25</x:f>
        <x:v>0</x:v>
      </x:c>
      <x:c r="F25" s="55"/>
      <x:c r="G25" s="56" t="n">
        <x:f>E25*F25</x:f>
        <x:v>0</x:v>
      </x:c>
      <x:c r="H25" s="53"/>
      <x:c r="I25" s="53"/>
      <x:c r="J25" s="53"/>
      <x:c r="K25" s="54" t="str">
        <x:f>IF(A25="","",IF(AND(ABS(G25)&lt;='General'!$B$11,OR(H25="Received",H25="Alternative complete")),"Cleared","Exception"))</x:f>
      </x:c>
      <x:c r="L25" s="53"/>
    </x:row>
    <x:row r="26">
      <x:c r="A26" s="53"/>
      <x:c r="B26" s="53"/>
      <x:c r="C26" s="53"/>
      <x:c r="D26" s="53"/>
      <x:c r="E26" s="54" t="n">
        <x:f>D26-C26</x:f>
        <x:v>0</x:v>
      </x:c>
      <x:c r="F26" s="55"/>
      <x:c r="G26" s="56" t="n">
        <x:f>E26*F26</x:f>
        <x:v>0</x:v>
      </x:c>
      <x:c r="H26" s="53"/>
      <x:c r="I26" s="53"/>
      <x:c r="J26" s="53"/>
      <x:c r="K26" s="54" t="str">
        <x:f>IF(A26="","",IF(AND(ABS(G26)&lt;='General'!$B$11,OR(H26="Received",H26="Alternative complete")),"Cleared","Exception"))</x:f>
      </x:c>
      <x:c r="L26" s="53"/>
    </x:row>
    <x:row r="27">
      <x:c r="A27" s="53"/>
      <x:c r="B27" s="53"/>
      <x:c r="C27" s="53"/>
      <x:c r="D27" s="53"/>
      <x:c r="E27" s="54" t="n">
        <x:f>D27-C27</x:f>
        <x:v>0</x:v>
      </x:c>
      <x:c r="F27" s="55"/>
      <x:c r="G27" s="56" t="n">
        <x:f>E27*F27</x:f>
        <x:v>0</x:v>
      </x:c>
      <x:c r="H27" s="53"/>
      <x:c r="I27" s="53"/>
      <x:c r="J27" s="53"/>
      <x:c r="K27" s="54" t="str">
        <x:f>IF(A27="","",IF(AND(ABS(G27)&lt;='General'!$B$11,OR(H27="Received",H27="Alternative complete")),"Cleared","Exception"))</x:f>
      </x:c>
      <x:c r="L27" s="53"/>
    </x:row>
    <x:row r="28">
      <x:c r="A28" s="53"/>
      <x:c r="B28" s="53"/>
      <x:c r="C28" s="53"/>
      <x:c r="D28" s="53"/>
      <x:c r="E28" s="54" t="n">
        <x:f>D28-C28</x:f>
        <x:v>0</x:v>
      </x:c>
      <x:c r="F28" s="55"/>
      <x:c r="G28" s="56" t="n">
        <x:f>E28*F28</x:f>
        <x:v>0</x:v>
      </x:c>
      <x:c r="H28" s="53"/>
      <x:c r="I28" s="53"/>
      <x:c r="J28" s="53"/>
      <x:c r="K28" s="54" t="str">
        <x:f>IF(A28="","",IF(AND(ABS(G28)&lt;='General'!$B$11,OR(H28="Received",H28="Alternative complete")),"Cleared","Exception"))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F-02-GL: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2" priority="1" operator="containsText" text="Exception"/>
    <x:cfRule type="containsText" dxfId="3" priority="2" operator="containsText" text="Investigate"/>
  </x:conditionalFormatting>
  <x:dataValidations count="3">
    <x:dataValidation type="list" sqref="J3">
      <x:formula1>"Not started,In progress,Prepared,Reviewed"</x:formula1>
    </x:dataValidation>
    <x:dataValidation type="list" sqref="H9:H28">
      <x:formula1>"Not sent,Sent,Received,No response,Alternative complete"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F - Inventory | F-03-GL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F-03-GL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(Existence, completeness and valuation): Reconcile the final detailed inventory compilation to the general ledger, trial balance and financial statements.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Reperform extensions and totals; agree quantities and values to final count records and system reports; reconcile compilation totals by location/category to the GL; test unusual reconciling items and manual journals; ensure the tested listing is complete and is the same population used for valuation procedures.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Category / location</x:v>
      </x:c>
      <x:c r="B8" s="48" t="str">
        <x:v>Final compilation value</x:v>
      </x:c>
      <x:c r="C8" s="48" t="str">
        <x:v>Inventory subledger</x:v>
      </x:c>
      <x:c r="D8" s="48" t="str">
        <x:v>GL balance</x:v>
      </x:c>
      <x:c r="E8" s="48" t="str">
        <x:v>Compilation vs SL</x:v>
      </x:c>
      <x:c r="F8" s="48" t="str">
        <x:v>Compilation vs GL</x:v>
      </x:c>
      <x:c r="G8" s="48" t="str">
        <x:v>Count-sheet / system source</x:v>
      </x:c>
      <x:c r="H8" s="48" t="str">
        <x:v>Reconciling item nature</x:v>
      </x:c>
      <x:c r="I8" s="48" t="str">
        <x:v>Supporting evidence</x:v>
      </x:c>
      <x:c r="J8" s="48" t="str">
        <x:v>Adjustment</x:v>
      </x:c>
      <x:c r="K8" s="48" t="str">
        <x:v>Result</x:v>
      </x:c>
      <x:c r="L8" s="48" t="str">
        <x:v>Tickmarks</x:v>
      </x:c>
    </x:row>
    <x:row r="9">
      <x:c r="A9" s="53"/>
      <x:c r="B9" s="55"/>
      <x:c r="C9" s="55"/>
      <x:c r="D9" s="55"/>
      <x:c r="E9" s="56" t="n">
        <x:f>B9-C9</x:f>
        <x:v>0</x:v>
      </x:c>
      <x:c r="F9" s="56" t="n">
        <x:f>B9-D9</x:f>
        <x:v>0</x:v>
      </x:c>
      <x:c r="G9" s="53"/>
      <x:c r="H9" s="53"/>
      <x:c r="I9" s="53"/>
      <x:c r="J9" s="55"/>
      <x:c r="K9" s="54" t="str">
        <x:f>IF(A9="","",IF(AND(ABS(E9)&lt;='General'!$B$11,ABS(F9)&lt;='General'!$B$11),"Reconciled","Investigate"))</x:f>
      </x:c>
      <x:c r="L9" s="53"/>
    </x:row>
    <x:row r="10">
      <x:c r="A10" s="53"/>
      <x:c r="B10" s="55"/>
      <x:c r="C10" s="55"/>
      <x:c r="D10" s="55"/>
      <x:c r="E10" s="56" t="n">
        <x:f>B10-C10</x:f>
        <x:v>0</x:v>
      </x:c>
      <x:c r="F10" s="56" t="n">
        <x:f>B10-D10</x:f>
        <x:v>0</x:v>
      </x:c>
      <x:c r="G10" s="53"/>
      <x:c r="H10" s="53"/>
      <x:c r="I10" s="53"/>
      <x:c r="J10" s="55"/>
      <x:c r="K10" s="54" t="str">
        <x:f>IF(A10="","",IF(AND(ABS(E10)&lt;='General'!$B$11,ABS(F10)&lt;='General'!$B$11),"Reconciled","Investigate"))</x:f>
      </x:c>
      <x:c r="L10" s="53"/>
    </x:row>
    <x:row r="11">
      <x:c r="A11" s="53"/>
      <x:c r="B11" s="55"/>
      <x:c r="C11" s="55"/>
      <x:c r="D11" s="55"/>
      <x:c r="E11" s="56" t="n">
        <x:f>B11-C11</x:f>
        <x:v>0</x:v>
      </x:c>
      <x:c r="F11" s="56" t="n">
        <x:f>B11-D11</x:f>
        <x:v>0</x:v>
      </x:c>
      <x:c r="G11" s="53"/>
      <x:c r="H11" s="53"/>
      <x:c r="I11" s="53"/>
      <x:c r="J11" s="55"/>
      <x:c r="K11" s="54" t="str">
        <x:f>IF(A11="","",IF(AND(ABS(E11)&lt;='General'!$B$11,ABS(F11)&lt;='General'!$B$11),"Reconciled","Investigate"))</x:f>
      </x:c>
      <x:c r="L11" s="53"/>
    </x:row>
    <x:row r="12">
      <x:c r="A12" s="53"/>
      <x:c r="B12" s="55"/>
      <x:c r="C12" s="55"/>
      <x:c r="D12" s="55"/>
      <x:c r="E12" s="56" t="n">
        <x:f>B12-C12</x:f>
        <x:v>0</x:v>
      </x:c>
      <x:c r="F12" s="56" t="n">
        <x:f>B12-D12</x:f>
        <x:v>0</x:v>
      </x:c>
      <x:c r="G12" s="53"/>
      <x:c r="H12" s="53"/>
      <x:c r="I12" s="53"/>
      <x:c r="J12" s="55"/>
      <x:c r="K12" s="54" t="str">
        <x:f>IF(A12="","",IF(AND(ABS(E12)&lt;='General'!$B$11,ABS(F12)&lt;='General'!$B$11),"Reconciled","Investigate"))</x:f>
      </x:c>
      <x:c r="L12" s="53"/>
    </x:row>
    <x:row r="13">
      <x:c r="A13" s="53"/>
      <x:c r="B13" s="55"/>
      <x:c r="C13" s="55"/>
      <x:c r="D13" s="55"/>
      <x:c r="E13" s="56" t="n">
        <x:f>B13-C13</x:f>
        <x:v>0</x:v>
      </x:c>
      <x:c r="F13" s="56" t="n">
        <x:f>B13-D13</x:f>
        <x:v>0</x:v>
      </x:c>
      <x:c r="G13" s="53"/>
      <x:c r="H13" s="53"/>
      <x:c r="I13" s="53"/>
      <x:c r="J13" s="55"/>
      <x:c r="K13" s="54" t="str">
        <x:f>IF(A13="","",IF(AND(ABS(E13)&lt;='General'!$B$11,ABS(F13)&lt;='General'!$B$11),"Reconciled","Investigate"))</x:f>
      </x:c>
      <x:c r="L13" s="53"/>
    </x:row>
    <x:row r="14">
      <x:c r="A14" s="53"/>
      <x:c r="B14" s="55"/>
      <x:c r="C14" s="55"/>
      <x:c r="D14" s="55"/>
      <x:c r="E14" s="56" t="n">
        <x:f>B14-C14</x:f>
        <x:v>0</x:v>
      </x:c>
      <x:c r="F14" s="56" t="n">
        <x:f>B14-D14</x:f>
        <x:v>0</x:v>
      </x:c>
      <x:c r="G14" s="53"/>
      <x:c r="H14" s="53"/>
      <x:c r="I14" s="53"/>
      <x:c r="J14" s="55"/>
      <x:c r="K14" s="54" t="str">
        <x:f>IF(A14="","",IF(AND(ABS(E14)&lt;='General'!$B$11,ABS(F14)&lt;='General'!$B$11),"Reconciled","Investigate"))</x:f>
      </x:c>
      <x:c r="L14" s="53"/>
    </x:row>
    <x:row r="15">
      <x:c r="A15" s="53"/>
      <x:c r="B15" s="55"/>
      <x:c r="C15" s="55"/>
      <x:c r="D15" s="55"/>
      <x:c r="E15" s="56" t="n">
        <x:f>B15-C15</x:f>
        <x:v>0</x:v>
      </x:c>
      <x:c r="F15" s="56" t="n">
        <x:f>B15-D15</x:f>
        <x:v>0</x:v>
      </x:c>
      <x:c r="G15" s="53"/>
      <x:c r="H15" s="53"/>
      <x:c r="I15" s="53"/>
      <x:c r="J15" s="55"/>
      <x:c r="K15" s="54" t="str">
        <x:f>IF(A15="","",IF(AND(ABS(E15)&lt;='General'!$B$11,ABS(F15)&lt;='General'!$B$11),"Reconciled","Investigate"))</x:f>
      </x:c>
      <x:c r="L15" s="53"/>
    </x:row>
    <x:row r="16">
      <x:c r="A16" s="53"/>
      <x:c r="B16" s="55"/>
      <x:c r="C16" s="55"/>
      <x:c r="D16" s="55"/>
      <x:c r="E16" s="56" t="n">
        <x:f>B16-C16</x:f>
        <x:v>0</x:v>
      </x:c>
      <x:c r="F16" s="56" t="n">
        <x:f>B16-D16</x:f>
        <x:v>0</x:v>
      </x:c>
      <x:c r="G16" s="53"/>
      <x:c r="H16" s="53"/>
      <x:c r="I16" s="53"/>
      <x:c r="J16" s="55"/>
      <x:c r="K16" s="54" t="str">
        <x:f>IF(A16="","",IF(AND(ABS(E16)&lt;='General'!$B$11,ABS(F16)&lt;='General'!$B$11),"Reconciled","Investigate"))</x:f>
      </x:c>
      <x:c r="L16" s="53"/>
    </x:row>
    <x:row r="17">
      <x:c r="A17" s="53"/>
      <x:c r="B17" s="55"/>
      <x:c r="C17" s="55"/>
      <x:c r="D17" s="55"/>
      <x:c r="E17" s="56" t="n">
        <x:f>B17-C17</x:f>
        <x:v>0</x:v>
      </x:c>
      <x:c r="F17" s="56" t="n">
        <x:f>B17-D17</x:f>
        <x:v>0</x:v>
      </x:c>
      <x:c r="G17" s="53"/>
      <x:c r="H17" s="53"/>
      <x:c r="I17" s="53"/>
      <x:c r="J17" s="55"/>
      <x:c r="K17" s="54" t="str">
        <x:f>IF(A17="","",IF(AND(ABS(E17)&lt;='General'!$B$11,ABS(F17)&lt;='General'!$B$11),"Reconciled","Investigate"))</x:f>
      </x:c>
      <x:c r="L17" s="53"/>
    </x:row>
    <x:row r="18">
      <x:c r="A18" s="53"/>
      <x:c r="B18" s="55"/>
      <x:c r="C18" s="55"/>
      <x:c r="D18" s="55"/>
      <x:c r="E18" s="56" t="n">
        <x:f>B18-C18</x:f>
        <x:v>0</x:v>
      </x:c>
      <x:c r="F18" s="56" t="n">
        <x:f>B18-D18</x:f>
        <x:v>0</x:v>
      </x:c>
      <x:c r="G18" s="53"/>
      <x:c r="H18" s="53"/>
      <x:c r="I18" s="53"/>
      <x:c r="J18" s="55"/>
      <x:c r="K18" s="54" t="str">
        <x:f>IF(A18="","",IF(AND(ABS(E18)&lt;='General'!$B$11,ABS(F18)&lt;='General'!$B$11),"Reconciled","Investigate"))</x:f>
      </x:c>
      <x:c r="L18" s="53"/>
    </x:row>
    <x:row r="19">
      <x:c r="A19" s="53"/>
      <x:c r="B19" s="55"/>
      <x:c r="C19" s="55"/>
      <x:c r="D19" s="55"/>
      <x:c r="E19" s="56" t="n">
        <x:f>B19-C19</x:f>
        <x:v>0</x:v>
      </x:c>
      <x:c r="F19" s="56" t="n">
        <x:f>B19-D19</x:f>
        <x:v>0</x:v>
      </x:c>
      <x:c r="G19" s="53"/>
      <x:c r="H19" s="53"/>
      <x:c r="I19" s="53"/>
      <x:c r="J19" s="55"/>
      <x:c r="K19" s="54" t="str">
        <x:f>IF(A19="","",IF(AND(ABS(E19)&lt;='General'!$B$11,ABS(F19)&lt;='General'!$B$11),"Reconciled","Investigate"))</x:f>
      </x:c>
      <x:c r="L19" s="53"/>
    </x:row>
    <x:row r="20">
      <x:c r="A20" s="53"/>
      <x:c r="B20" s="55"/>
      <x:c r="C20" s="55"/>
      <x:c r="D20" s="55"/>
      <x:c r="E20" s="56" t="n">
        <x:f>B20-C20</x:f>
        <x:v>0</x:v>
      </x:c>
      <x:c r="F20" s="56" t="n">
        <x:f>B20-D20</x:f>
        <x:v>0</x:v>
      </x:c>
      <x:c r="G20" s="53"/>
      <x:c r="H20" s="53"/>
      <x:c r="I20" s="53"/>
      <x:c r="J20" s="55"/>
      <x:c r="K20" s="54" t="str">
        <x:f>IF(A20="","",IF(AND(ABS(E20)&lt;='General'!$B$11,ABS(F20)&lt;='General'!$B$11),"Reconciled","Investigate"))</x:f>
      </x:c>
      <x:c r="L20" s="53"/>
    </x:row>
    <x:row r="21">
      <x:c r="A21" s="53"/>
      <x:c r="B21" s="55"/>
      <x:c r="C21" s="55"/>
      <x:c r="D21" s="55"/>
      <x:c r="E21" s="56" t="n">
        <x:f>B21-C21</x:f>
        <x:v>0</x:v>
      </x:c>
      <x:c r="F21" s="56" t="n">
        <x:f>B21-D21</x:f>
        <x:v>0</x:v>
      </x:c>
      <x:c r="G21" s="53"/>
      <x:c r="H21" s="53"/>
      <x:c r="I21" s="53"/>
      <x:c r="J21" s="55"/>
      <x:c r="K21" s="54" t="str">
        <x:f>IF(A21="","",IF(AND(ABS(E21)&lt;='General'!$B$11,ABS(F21)&lt;='General'!$B$11),"Reconciled","Investigate"))</x:f>
      </x:c>
      <x:c r="L21" s="53"/>
    </x:row>
    <x:row r="22">
      <x:c r="A22" s="53"/>
      <x:c r="B22" s="55"/>
      <x:c r="C22" s="55"/>
      <x:c r="D22" s="55"/>
      <x:c r="E22" s="56" t="n">
        <x:f>B22-C22</x:f>
        <x:v>0</x:v>
      </x:c>
      <x:c r="F22" s="56" t="n">
        <x:f>B22-D22</x:f>
        <x:v>0</x:v>
      </x:c>
      <x:c r="G22" s="53"/>
      <x:c r="H22" s="53"/>
      <x:c r="I22" s="53"/>
      <x:c r="J22" s="55"/>
      <x:c r="K22" s="54" t="str">
        <x:f>IF(A22="","",IF(AND(ABS(E22)&lt;='General'!$B$11,ABS(F22)&lt;='General'!$B$11),"Reconciled","Investigate"))</x:f>
      </x:c>
      <x:c r="L22" s="53"/>
    </x:row>
    <x:row r="23">
      <x:c r="A23" s="53"/>
      <x:c r="B23" s="55"/>
      <x:c r="C23" s="55"/>
      <x:c r="D23" s="55"/>
      <x:c r="E23" s="56" t="n">
        <x:f>B23-C23</x:f>
        <x:v>0</x:v>
      </x:c>
      <x:c r="F23" s="56" t="n">
        <x:f>B23-D23</x:f>
        <x:v>0</x:v>
      </x:c>
      <x:c r="G23" s="53"/>
      <x:c r="H23" s="53"/>
      <x:c r="I23" s="53"/>
      <x:c r="J23" s="55"/>
      <x:c r="K23" s="54" t="str">
        <x:f>IF(A23="","",IF(AND(ABS(E23)&lt;='General'!$B$11,ABS(F23)&lt;='General'!$B$11),"Reconciled","Investigate"))</x:f>
      </x:c>
      <x:c r="L23" s="53"/>
    </x:row>
    <x:row r="24">
      <x:c r="A24" s="53"/>
      <x:c r="B24" s="55"/>
      <x:c r="C24" s="55"/>
      <x:c r="D24" s="55"/>
      <x:c r="E24" s="56" t="n">
        <x:f>B24-C24</x:f>
        <x:v>0</x:v>
      </x:c>
      <x:c r="F24" s="56" t="n">
        <x:f>B24-D24</x:f>
        <x:v>0</x:v>
      </x:c>
      <x:c r="G24" s="53"/>
      <x:c r="H24" s="53"/>
      <x:c r="I24" s="53"/>
      <x:c r="J24" s="55"/>
      <x:c r="K24" s="54" t="str">
        <x:f>IF(A24="","",IF(AND(ABS(E24)&lt;='General'!$B$11,ABS(F24)&lt;='General'!$B$11),"Reconciled","Investigate"))</x:f>
      </x:c>
      <x:c r="L24" s="53"/>
    </x:row>
    <x:row r="25">
      <x:c r="A25" s="53"/>
      <x:c r="B25" s="55"/>
      <x:c r="C25" s="55"/>
      <x:c r="D25" s="55"/>
      <x:c r="E25" s="56" t="n">
        <x:f>B25-C25</x:f>
        <x:v>0</x:v>
      </x:c>
      <x:c r="F25" s="56" t="n">
        <x:f>B25-D25</x:f>
        <x:v>0</x:v>
      </x:c>
      <x:c r="G25" s="53"/>
      <x:c r="H25" s="53"/>
      <x:c r="I25" s="53"/>
      <x:c r="J25" s="55"/>
      <x:c r="K25" s="54" t="str">
        <x:f>IF(A25="","",IF(AND(ABS(E25)&lt;='General'!$B$11,ABS(F25)&lt;='General'!$B$11),"Reconciled","Investigate"))</x:f>
      </x:c>
      <x:c r="L25" s="53"/>
    </x:row>
    <x:row r="26">
      <x:c r="A26" s="53"/>
      <x:c r="B26" s="55"/>
      <x:c r="C26" s="55"/>
      <x:c r="D26" s="55"/>
      <x:c r="E26" s="56" t="n">
        <x:f>B26-C26</x:f>
        <x:v>0</x:v>
      </x:c>
      <x:c r="F26" s="56" t="n">
        <x:f>B26-D26</x:f>
        <x:v>0</x:v>
      </x:c>
      <x:c r="G26" s="53"/>
      <x:c r="H26" s="53"/>
      <x:c r="I26" s="53"/>
      <x:c r="J26" s="55"/>
      <x:c r="K26" s="54" t="str">
        <x:f>IF(A26="","",IF(AND(ABS(E26)&lt;='General'!$B$11,ABS(F26)&lt;='General'!$B$11),"Reconciled","Investigate"))</x:f>
      </x:c>
      <x:c r="L26" s="53"/>
    </x:row>
    <x:row r="27">
      <x:c r="A27" s="53"/>
      <x:c r="B27" s="55"/>
      <x:c r="C27" s="55"/>
      <x:c r="D27" s="55"/>
      <x:c r="E27" s="56" t="n">
        <x:f>B27-C27</x:f>
        <x:v>0</x:v>
      </x:c>
      <x:c r="F27" s="56" t="n">
        <x:f>B27-D27</x:f>
        <x:v>0</x:v>
      </x:c>
      <x:c r="G27" s="53"/>
      <x:c r="H27" s="53"/>
      <x:c r="I27" s="53"/>
      <x:c r="J27" s="55"/>
      <x:c r="K27" s="54" t="str">
        <x:f>IF(A27="","",IF(AND(ABS(E27)&lt;='General'!$B$11,ABS(F27)&lt;='General'!$B$11),"Reconciled","Investigate"))</x:f>
      </x:c>
      <x:c r="L27" s="53"/>
    </x:row>
    <x:row r="28">
      <x:c r="A28" s="53"/>
      <x:c r="B28" s="55"/>
      <x:c r="C28" s="55"/>
      <x:c r="D28" s="55"/>
      <x:c r="E28" s="56" t="n">
        <x:f>B28-C28</x:f>
        <x:v>0</x:v>
      </x:c>
      <x:c r="F28" s="56" t="n">
        <x:f>B28-D28</x:f>
        <x:v>0</x:v>
      </x:c>
      <x:c r="G28" s="53"/>
      <x:c r="H28" s="53"/>
      <x:c r="I28" s="53"/>
      <x:c r="J28" s="55"/>
      <x:c r="K28" s="54" t="str">
        <x:f>IF(A28="","",IF(AND(ABS(E28)&lt;='General'!$B$11,ABS(F28)&lt;='General'!$B$11),"Reconciled","Investigate"))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F-03-GL: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4" priority="1" operator="containsText" text="Exception"/>
    <x:cfRule type="containsText" dxfId="5" priority="2" operator="containsText" text="Investigate"/>
  </x:conditionalFormatting>
  <x:dataValidations count="2">
    <x:dataValidation type="list" sqref="J3">
      <x:formula1>"Not started,In progress,Prepared,Reviewed"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F - Inventory | F-04-GL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F-04-GL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 and valuation): Bridge inventory work performed at a date other than year-end to the reporting date.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Reconcile count-date inventory to year-end through purchases, production, sales, transfers, write-offs and adjustments. Test significant bridge movements, perform cut-off at both dates, investigate unusual movements or negative quantities, and determine whether additional counts or expanded tests are needed.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SKU / category</x:v>
      </x:c>
      <x:c r="B8" s="48" t="str">
        <x:v>Count-date quantity</x:v>
      </x:c>
      <x:c r="C8" s="48" t="str">
        <x:v>Purchases / production</x:v>
      </x:c>
      <x:c r="D8" s="48" t="str">
        <x:v>Sales / issues</x:v>
      </x:c>
      <x:c r="E8" s="48" t="str">
        <x:v>Other adjustments</x:v>
      </x:c>
      <x:c r="F8" s="48" t="str">
        <x:v>Expected year-end qty</x:v>
      </x:c>
      <x:c r="G8" s="48" t="str">
        <x:v>Actual year-end qty</x:v>
      </x:c>
      <x:c r="H8" s="48" t="str">
        <x:v>Quantity difference</x:v>
      </x:c>
      <x:c r="I8" s="48" t="str">
        <x:v>Unit cost</x:v>
      </x:c>
      <x:c r="J8" s="48" t="str">
        <x:v>Value difference</x:v>
      </x:c>
      <x:c r="K8" s="48" t="str">
        <x:v>Result</x:v>
      </x:c>
      <x:c r="L8" s="48" t="str">
        <x:v>Tickmarks</x:v>
      </x:c>
    </x:row>
    <x:row r="9">
      <x:c r="A9" s="53"/>
      <x:c r="B9" s="53"/>
      <x:c r="C9" s="53"/>
      <x:c r="D9" s="53"/>
      <x:c r="E9" s="53"/>
      <x:c r="F9" s="54" t="n">
        <x:f>B9+C9-D9+E9</x:f>
        <x:v>0</x:v>
      </x:c>
      <x:c r="G9" s="53"/>
      <x:c r="H9" s="54" t="n">
        <x:f>G9-F9</x:f>
        <x:v>0</x:v>
      </x:c>
      <x:c r="I9" s="55"/>
      <x:c r="J9" s="56" t="n">
        <x:f>H9*I9</x:f>
        <x:v>0</x:v>
      </x:c>
      <x:c r="K9" s="54" t="str">
        <x:f>IF(A9="","",IF(ABS(J9)&lt;='General'!$B$11,"Cleared","Exception"))</x:f>
      </x:c>
      <x:c r="L9" s="53"/>
    </x:row>
    <x:row r="10">
      <x:c r="A10" s="53"/>
      <x:c r="B10" s="53"/>
      <x:c r="C10" s="53"/>
      <x:c r="D10" s="53"/>
      <x:c r="E10" s="53"/>
      <x:c r="F10" s="54" t="n">
        <x:f>B10+C10-D10+E10</x:f>
        <x:v>0</x:v>
      </x:c>
      <x:c r="G10" s="53"/>
      <x:c r="H10" s="54" t="n">
        <x:f>G10-F10</x:f>
        <x:v>0</x:v>
      </x:c>
      <x:c r="I10" s="55"/>
      <x:c r="J10" s="56" t="n">
        <x:f>H10*I10</x:f>
        <x:v>0</x:v>
      </x:c>
      <x:c r="K10" s="54" t="str">
        <x:f>IF(A10="","",IF(ABS(J10)&lt;='General'!$B$11,"Cleared","Exception"))</x:f>
      </x:c>
      <x:c r="L10" s="53"/>
    </x:row>
    <x:row r="11">
      <x:c r="A11" s="53"/>
      <x:c r="B11" s="53"/>
      <x:c r="C11" s="53"/>
      <x:c r="D11" s="53"/>
      <x:c r="E11" s="53"/>
      <x:c r="F11" s="54" t="n">
        <x:f>B11+C11-D11+E11</x:f>
        <x:v>0</x:v>
      </x:c>
      <x:c r="G11" s="53"/>
      <x:c r="H11" s="54" t="n">
        <x:f>G11-F11</x:f>
        <x:v>0</x:v>
      </x:c>
      <x:c r="I11" s="55"/>
      <x:c r="J11" s="56" t="n">
        <x:f>H11*I11</x:f>
        <x:v>0</x:v>
      </x:c>
      <x:c r="K11" s="54" t="str">
        <x:f>IF(A11="","",IF(ABS(J11)&lt;='General'!$B$11,"Cleared","Exception"))</x:f>
      </x:c>
      <x:c r="L11" s="53"/>
    </x:row>
    <x:row r="12">
      <x:c r="A12" s="53"/>
      <x:c r="B12" s="53"/>
      <x:c r="C12" s="53"/>
      <x:c r="D12" s="53"/>
      <x:c r="E12" s="53"/>
      <x:c r="F12" s="54" t="n">
        <x:f>B12+C12-D12+E12</x:f>
        <x:v>0</x:v>
      </x:c>
      <x:c r="G12" s="53"/>
      <x:c r="H12" s="54" t="n">
        <x:f>G12-F12</x:f>
        <x:v>0</x:v>
      </x:c>
      <x:c r="I12" s="55"/>
      <x:c r="J12" s="56" t="n">
        <x:f>H12*I12</x:f>
        <x:v>0</x:v>
      </x:c>
      <x:c r="K12" s="54" t="str">
        <x:f>IF(A12="","",IF(ABS(J12)&lt;='General'!$B$11,"Cleared","Exception"))</x:f>
      </x:c>
      <x:c r="L12" s="53"/>
    </x:row>
    <x:row r="13">
      <x:c r="A13" s="53"/>
      <x:c r="B13" s="53"/>
      <x:c r="C13" s="53"/>
      <x:c r="D13" s="53"/>
      <x:c r="E13" s="53"/>
      <x:c r="F13" s="54" t="n">
        <x:f>B13+C13-D13+E13</x:f>
        <x:v>0</x:v>
      </x:c>
      <x:c r="G13" s="53"/>
      <x:c r="H13" s="54" t="n">
        <x:f>G13-F13</x:f>
        <x:v>0</x:v>
      </x:c>
      <x:c r="I13" s="55"/>
      <x:c r="J13" s="56" t="n">
        <x:f>H13*I13</x:f>
        <x:v>0</x:v>
      </x:c>
      <x:c r="K13" s="54" t="str">
        <x:f>IF(A13="","",IF(ABS(J13)&lt;='General'!$B$11,"Cleared","Exception"))</x:f>
      </x:c>
      <x:c r="L13" s="53"/>
    </x:row>
    <x:row r="14">
      <x:c r="A14" s="53"/>
      <x:c r="B14" s="53"/>
      <x:c r="C14" s="53"/>
      <x:c r="D14" s="53"/>
      <x:c r="E14" s="53"/>
      <x:c r="F14" s="54" t="n">
        <x:f>B14+C14-D14+E14</x:f>
        <x:v>0</x:v>
      </x:c>
      <x:c r="G14" s="53"/>
      <x:c r="H14" s="54" t="n">
        <x:f>G14-F14</x:f>
        <x:v>0</x:v>
      </x:c>
      <x:c r="I14" s="55"/>
      <x:c r="J14" s="56" t="n">
        <x:f>H14*I14</x:f>
        <x:v>0</x:v>
      </x:c>
      <x:c r="K14" s="54" t="str">
        <x:f>IF(A14="","",IF(ABS(J14)&lt;='General'!$B$11,"Cleared","Exception"))</x:f>
      </x:c>
      <x:c r="L14" s="53"/>
    </x:row>
    <x:row r="15">
      <x:c r="A15" s="53"/>
      <x:c r="B15" s="53"/>
      <x:c r="C15" s="53"/>
      <x:c r="D15" s="53"/>
      <x:c r="E15" s="53"/>
      <x:c r="F15" s="54" t="n">
        <x:f>B15+C15-D15+E15</x:f>
        <x:v>0</x:v>
      </x:c>
      <x:c r="G15" s="53"/>
      <x:c r="H15" s="54" t="n">
        <x:f>G15-F15</x:f>
        <x:v>0</x:v>
      </x:c>
      <x:c r="I15" s="55"/>
      <x:c r="J15" s="56" t="n">
        <x:f>H15*I15</x:f>
        <x:v>0</x:v>
      </x:c>
      <x:c r="K15" s="54" t="str">
        <x:f>IF(A15="","",IF(ABS(J15)&lt;='General'!$B$11,"Cleared","Exception"))</x:f>
      </x:c>
      <x:c r="L15" s="53"/>
    </x:row>
    <x:row r="16">
      <x:c r="A16" s="53"/>
      <x:c r="B16" s="53"/>
      <x:c r="C16" s="53"/>
      <x:c r="D16" s="53"/>
      <x:c r="E16" s="53"/>
      <x:c r="F16" s="54" t="n">
        <x:f>B16+C16-D16+E16</x:f>
        <x:v>0</x:v>
      </x:c>
      <x:c r="G16" s="53"/>
      <x:c r="H16" s="54" t="n">
        <x:f>G16-F16</x:f>
        <x:v>0</x:v>
      </x:c>
      <x:c r="I16" s="55"/>
      <x:c r="J16" s="56" t="n">
        <x:f>H16*I16</x:f>
        <x:v>0</x:v>
      </x:c>
      <x:c r="K16" s="54" t="str">
        <x:f>IF(A16="","",IF(ABS(J16)&lt;='General'!$B$11,"Cleared","Exception"))</x:f>
      </x:c>
      <x:c r="L16" s="53"/>
    </x:row>
    <x:row r="17">
      <x:c r="A17" s="53"/>
      <x:c r="B17" s="53"/>
      <x:c r="C17" s="53"/>
      <x:c r="D17" s="53"/>
      <x:c r="E17" s="53"/>
      <x:c r="F17" s="54" t="n">
        <x:f>B17+C17-D17+E17</x:f>
        <x:v>0</x:v>
      </x:c>
      <x:c r="G17" s="53"/>
      <x:c r="H17" s="54" t="n">
        <x:f>G17-F17</x:f>
        <x:v>0</x:v>
      </x:c>
      <x:c r="I17" s="55"/>
      <x:c r="J17" s="56" t="n">
        <x:f>H17*I17</x:f>
        <x:v>0</x:v>
      </x:c>
      <x:c r="K17" s="54" t="str">
        <x:f>IF(A17="","",IF(ABS(J17)&lt;='General'!$B$11,"Cleared","Exception"))</x:f>
      </x:c>
      <x:c r="L17" s="53"/>
    </x:row>
    <x:row r="18">
      <x:c r="A18" s="53"/>
      <x:c r="B18" s="53"/>
      <x:c r="C18" s="53"/>
      <x:c r="D18" s="53"/>
      <x:c r="E18" s="53"/>
      <x:c r="F18" s="54" t="n">
        <x:f>B18+C18-D18+E18</x:f>
        <x:v>0</x:v>
      </x:c>
      <x:c r="G18" s="53"/>
      <x:c r="H18" s="54" t="n">
        <x:f>G18-F18</x:f>
        <x:v>0</x:v>
      </x:c>
      <x:c r="I18" s="55"/>
      <x:c r="J18" s="56" t="n">
        <x:f>H18*I18</x:f>
        <x:v>0</x:v>
      </x:c>
      <x:c r="K18" s="54" t="str">
        <x:f>IF(A18="","",IF(ABS(J18)&lt;='General'!$B$11,"Cleared","Exception"))</x:f>
      </x:c>
      <x:c r="L18" s="53"/>
    </x:row>
    <x:row r="19">
      <x:c r="A19" s="53"/>
      <x:c r="B19" s="53"/>
      <x:c r="C19" s="53"/>
      <x:c r="D19" s="53"/>
      <x:c r="E19" s="53"/>
      <x:c r="F19" s="54" t="n">
        <x:f>B19+C19-D19+E19</x:f>
        <x:v>0</x:v>
      </x:c>
      <x:c r="G19" s="53"/>
      <x:c r="H19" s="54" t="n">
        <x:f>G19-F19</x:f>
        <x:v>0</x:v>
      </x:c>
      <x:c r="I19" s="55"/>
      <x:c r="J19" s="56" t="n">
        <x:f>H19*I19</x:f>
        <x:v>0</x:v>
      </x:c>
      <x:c r="K19" s="54" t="str">
        <x:f>IF(A19="","",IF(ABS(J19)&lt;='General'!$B$11,"Cleared","Exception"))</x:f>
      </x:c>
      <x:c r="L19" s="53"/>
    </x:row>
    <x:row r="20">
      <x:c r="A20" s="53"/>
      <x:c r="B20" s="53"/>
      <x:c r="C20" s="53"/>
      <x:c r="D20" s="53"/>
      <x:c r="E20" s="53"/>
      <x:c r="F20" s="54" t="n">
        <x:f>B20+C20-D20+E20</x:f>
        <x:v>0</x:v>
      </x:c>
      <x:c r="G20" s="53"/>
      <x:c r="H20" s="54" t="n">
        <x:f>G20-F20</x:f>
        <x:v>0</x:v>
      </x:c>
      <x:c r="I20" s="55"/>
      <x:c r="J20" s="56" t="n">
        <x:f>H20*I20</x:f>
        <x:v>0</x:v>
      </x:c>
      <x:c r="K20" s="54" t="str">
        <x:f>IF(A20="","",IF(ABS(J20)&lt;='General'!$B$11,"Cleared","Exception"))</x:f>
      </x:c>
      <x:c r="L20" s="53"/>
    </x:row>
    <x:row r="21">
      <x:c r="A21" s="53"/>
      <x:c r="B21" s="53"/>
      <x:c r="C21" s="53"/>
      <x:c r="D21" s="53"/>
      <x:c r="E21" s="53"/>
      <x:c r="F21" s="54" t="n">
        <x:f>B21+C21-D21+E21</x:f>
        <x:v>0</x:v>
      </x:c>
      <x:c r="G21" s="53"/>
      <x:c r="H21" s="54" t="n">
        <x:f>G21-F21</x:f>
        <x:v>0</x:v>
      </x:c>
      <x:c r="I21" s="55"/>
      <x:c r="J21" s="56" t="n">
        <x:f>H21*I21</x:f>
        <x:v>0</x:v>
      </x:c>
      <x:c r="K21" s="54" t="str">
        <x:f>IF(A21="","",IF(ABS(J21)&lt;='General'!$B$11,"Cleared","Exception"))</x:f>
      </x:c>
      <x:c r="L21" s="53"/>
    </x:row>
    <x:row r="22">
      <x:c r="A22" s="53"/>
      <x:c r="B22" s="53"/>
      <x:c r="C22" s="53"/>
      <x:c r="D22" s="53"/>
      <x:c r="E22" s="53"/>
      <x:c r="F22" s="54" t="n">
        <x:f>B22+C22-D22+E22</x:f>
        <x:v>0</x:v>
      </x:c>
      <x:c r="G22" s="53"/>
      <x:c r="H22" s="54" t="n">
        <x:f>G22-F22</x:f>
        <x:v>0</x:v>
      </x:c>
      <x:c r="I22" s="55"/>
      <x:c r="J22" s="56" t="n">
        <x:f>H22*I22</x:f>
        <x:v>0</x:v>
      </x:c>
      <x:c r="K22" s="54" t="str">
        <x:f>IF(A22="","",IF(ABS(J22)&lt;='General'!$B$11,"Cleared","Exception"))</x:f>
      </x:c>
      <x:c r="L22" s="53"/>
    </x:row>
    <x:row r="23">
      <x:c r="A23" s="53"/>
      <x:c r="B23" s="53"/>
      <x:c r="C23" s="53"/>
      <x:c r="D23" s="53"/>
      <x:c r="E23" s="53"/>
      <x:c r="F23" s="54" t="n">
        <x:f>B23+C23-D23+E23</x:f>
        <x:v>0</x:v>
      </x:c>
      <x:c r="G23" s="53"/>
      <x:c r="H23" s="54" t="n">
        <x:f>G23-F23</x:f>
        <x:v>0</x:v>
      </x:c>
      <x:c r="I23" s="55"/>
      <x:c r="J23" s="56" t="n">
        <x:f>H23*I23</x:f>
        <x:v>0</x:v>
      </x:c>
      <x:c r="K23" s="54" t="str">
        <x:f>IF(A23="","",IF(ABS(J23)&lt;='General'!$B$11,"Cleared","Exception"))</x:f>
      </x:c>
      <x:c r="L23" s="53"/>
    </x:row>
    <x:row r="24">
      <x:c r="A24" s="53"/>
      <x:c r="B24" s="53"/>
      <x:c r="C24" s="53"/>
      <x:c r="D24" s="53"/>
      <x:c r="E24" s="53"/>
      <x:c r="F24" s="54" t="n">
        <x:f>B24+C24-D24+E24</x:f>
        <x:v>0</x:v>
      </x:c>
      <x:c r="G24" s="53"/>
      <x:c r="H24" s="54" t="n">
        <x:f>G24-F24</x:f>
        <x:v>0</x:v>
      </x:c>
      <x:c r="I24" s="55"/>
      <x:c r="J24" s="56" t="n">
        <x:f>H24*I24</x:f>
        <x:v>0</x:v>
      </x:c>
      <x:c r="K24" s="54" t="str">
        <x:f>IF(A24="","",IF(ABS(J24)&lt;='General'!$B$11,"Cleared","Exception"))</x:f>
      </x:c>
      <x:c r="L24" s="53"/>
    </x:row>
    <x:row r="25">
      <x:c r="A25" s="53"/>
      <x:c r="B25" s="53"/>
      <x:c r="C25" s="53"/>
      <x:c r="D25" s="53"/>
      <x:c r="E25" s="53"/>
      <x:c r="F25" s="54" t="n">
        <x:f>B25+C25-D25+E25</x:f>
        <x:v>0</x:v>
      </x:c>
      <x:c r="G25" s="53"/>
      <x:c r="H25" s="54" t="n">
        <x:f>G25-F25</x:f>
        <x:v>0</x:v>
      </x:c>
      <x:c r="I25" s="55"/>
      <x:c r="J25" s="56" t="n">
        <x:f>H25*I25</x:f>
        <x:v>0</x:v>
      </x:c>
      <x:c r="K25" s="54" t="str">
        <x:f>IF(A25="","",IF(ABS(J25)&lt;='General'!$B$11,"Cleared","Exception"))</x:f>
      </x:c>
      <x:c r="L25" s="53"/>
    </x:row>
    <x:row r="26">
      <x:c r="A26" s="53"/>
      <x:c r="B26" s="53"/>
      <x:c r="C26" s="53"/>
      <x:c r="D26" s="53"/>
      <x:c r="E26" s="53"/>
      <x:c r="F26" s="54" t="n">
        <x:f>B26+C26-D26+E26</x:f>
        <x:v>0</x:v>
      </x:c>
      <x:c r="G26" s="53"/>
      <x:c r="H26" s="54" t="n">
        <x:f>G26-F26</x:f>
        <x:v>0</x:v>
      </x:c>
      <x:c r="I26" s="55"/>
      <x:c r="J26" s="56" t="n">
        <x:f>H26*I26</x:f>
        <x:v>0</x:v>
      </x:c>
      <x:c r="K26" s="54" t="str">
        <x:f>IF(A26="","",IF(ABS(J26)&lt;='General'!$B$11,"Cleared","Exception"))</x:f>
      </x:c>
      <x:c r="L26" s="53"/>
    </x:row>
    <x:row r="27">
      <x:c r="A27" s="53"/>
      <x:c r="B27" s="53"/>
      <x:c r="C27" s="53"/>
      <x:c r="D27" s="53"/>
      <x:c r="E27" s="53"/>
      <x:c r="F27" s="54" t="n">
        <x:f>B27+C27-D27+E27</x:f>
        <x:v>0</x:v>
      </x:c>
      <x:c r="G27" s="53"/>
      <x:c r="H27" s="54" t="n">
        <x:f>G27-F27</x:f>
        <x:v>0</x:v>
      </x:c>
      <x:c r="I27" s="55"/>
      <x:c r="J27" s="56" t="n">
        <x:f>H27*I27</x:f>
        <x:v>0</x:v>
      </x:c>
      <x:c r="K27" s="54" t="str">
        <x:f>IF(A27="","",IF(ABS(J27)&lt;='General'!$B$11,"Cleared","Exception"))</x:f>
      </x:c>
      <x:c r="L27" s="53"/>
    </x:row>
    <x:row r="28">
      <x:c r="A28" s="53"/>
      <x:c r="B28" s="53"/>
      <x:c r="C28" s="53"/>
      <x:c r="D28" s="53"/>
      <x:c r="E28" s="53"/>
      <x:c r="F28" s="54" t="n">
        <x:f>B28+C28-D28+E28</x:f>
        <x:v>0</x:v>
      </x:c>
      <x:c r="G28" s="53"/>
      <x:c r="H28" s="54" t="n">
        <x:f>G28-F28</x:f>
        <x:v>0</x:v>
      </x:c>
      <x:c r="I28" s="55"/>
      <x:c r="J28" s="56" t="n">
        <x:f>H28*I28</x:f>
        <x:v>0</x:v>
      </x:c>
      <x:c r="K28" s="54" t="str">
        <x:f>IF(A28="","",IF(ABS(J28)&lt;='General'!$B$11,"Cleared","Exception"))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F-04-GL: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6" priority="1" operator="containsText" text="Exception"/>
    <x:cfRule type="containsText" dxfId="7" priority="2" operator="containsText" text="Investigate"/>
  </x:conditionalFormatting>
  <x:dataValidations count="2">
    <x:dataValidation type="list" sqref="J3">
      <x:formula1>"Not started,In progress,Prepared,Reviewed"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F - Inventory | F-05-GL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F-05-GL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 and completeness): Determine whether inventory receipts, production, transfers, dispatches and related purchases/sales are recorded in the correct period.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Use movement documents captured at the physical count. Test transactions on both sides of year-end to GRNs, dispatch notes, invoices, shipping terms and system records; reconcile with purchases, sales, payables and receivables cut-off; quantify exceptions and assess whether the population requires extension.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Movement document</x:v>
      </x:c>
      <x:c r="B8" s="48" t="str">
        <x:v>Movement type</x:v>
      </x:c>
      <x:c r="C8" s="48" t="str">
        <x:v>SKU / description</x:v>
      </x:c>
      <x:c r="D8" s="48" t="str">
        <x:v>Physical movement date</x:v>
      </x:c>
      <x:c r="E8" s="48" t="str">
        <x:v>Invoice / posting date</x:v>
      </x:c>
      <x:c r="F8" s="48" t="str">
        <x:v>Recorded period</x:v>
      </x:c>
      <x:c r="G8" s="48" t="str">
        <x:v>Correct period</x:v>
      </x:c>
      <x:c r="H8" s="48" t="str">
        <x:v>Quantity</x:v>
      </x:c>
      <x:c r="I8" s="48" t="str">
        <x:v>Amount</x:v>
      </x:c>
      <x:c r="J8" s="48" t="str">
        <x:v>Cut-off exception</x:v>
      </x:c>
      <x:c r="K8" s="48" t="str">
        <x:v>Result</x:v>
      </x:c>
      <x:c r="L8" s="48" t="str">
        <x:v>Tickmarks</x:v>
      </x:c>
    </x:row>
    <x:row r="9">
      <x:c r="A9" s="53"/>
      <x:c r="B9" s="53"/>
      <x:c r="C9" s="53"/>
      <x:c r="D9" s="66"/>
      <x:c r="E9" s="66"/>
      <x:c r="F9" s="53"/>
      <x:c r="G9" s="53"/>
      <x:c r="H9" s="53"/>
      <x:c r="I9" s="55"/>
      <x:c r="J9" s="56" t="n">
        <x:f>IF(OR(F9="",G9=""),0,IF(F9=G9,0,I9))</x:f>
        <x:v>0</x:v>
      </x:c>
      <x:c r="K9" s="54" t="str">
        <x:f>IF(A9="","",IF(J9=0,"Correct period","Exception"))</x:f>
      </x:c>
      <x:c r="L9" s="53"/>
    </x:row>
    <x:row r="10">
      <x:c r="A10" s="53"/>
      <x:c r="B10" s="53"/>
      <x:c r="C10" s="53"/>
      <x:c r="D10" s="66"/>
      <x:c r="E10" s="66"/>
      <x:c r="F10" s="53"/>
      <x:c r="G10" s="53"/>
      <x:c r="H10" s="53"/>
      <x:c r="I10" s="55"/>
      <x:c r="J10" s="56" t="n">
        <x:f>IF(OR(F10="",G10=""),0,IF(F10=G10,0,I10))</x:f>
        <x:v>0</x:v>
      </x:c>
      <x:c r="K10" s="54" t="str">
        <x:f>IF(A10="","",IF(J10=0,"Correct period","Exception"))</x:f>
      </x:c>
      <x:c r="L10" s="53"/>
    </x:row>
    <x:row r="11">
      <x:c r="A11" s="53"/>
      <x:c r="B11" s="53"/>
      <x:c r="C11" s="53"/>
      <x:c r="D11" s="66"/>
      <x:c r="E11" s="66"/>
      <x:c r="F11" s="53"/>
      <x:c r="G11" s="53"/>
      <x:c r="H11" s="53"/>
      <x:c r="I11" s="55"/>
      <x:c r="J11" s="56" t="n">
        <x:f>IF(OR(F11="",G11=""),0,IF(F11=G11,0,I11))</x:f>
        <x:v>0</x:v>
      </x:c>
      <x:c r="K11" s="54" t="str">
        <x:f>IF(A11="","",IF(J11=0,"Correct period","Exception"))</x:f>
      </x:c>
      <x:c r="L11" s="53"/>
    </x:row>
    <x:row r="12">
      <x:c r="A12" s="53"/>
      <x:c r="B12" s="53"/>
      <x:c r="C12" s="53"/>
      <x:c r="D12" s="66"/>
      <x:c r="E12" s="66"/>
      <x:c r="F12" s="53"/>
      <x:c r="G12" s="53"/>
      <x:c r="H12" s="53"/>
      <x:c r="I12" s="55"/>
      <x:c r="J12" s="56" t="n">
        <x:f>IF(OR(F12="",G12=""),0,IF(F12=G12,0,I12))</x:f>
        <x:v>0</x:v>
      </x:c>
      <x:c r="K12" s="54" t="str">
        <x:f>IF(A12="","",IF(J12=0,"Correct period","Exception"))</x:f>
      </x:c>
      <x:c r="L12" s="53"/>
    </x:row>
    <x:row r="13">
      <x:c r="A13" s="53"/>
      <x:c r="B13" s="53"/>
      <x:c r="C13" s="53"/>
      <x:c r="D13" s="66"/>
      <x:c r="E13" s="66"/>
      <x:c r="F13" s="53"/>
      <x:c r="G13" s="53"/>
      <x:c r="H13" s="53"/>
      <x:c r="I13" s="55"/>
      <x:c r="J13" s="56" t="n">
        <x:f>IF(OR(F13="",G13=""),0,IF(F13=G13,0,I13))</x:f>
        <x:v>0</x:v>
      </x:c>
      <x:c r="K13" s="54" t="str">
        <x:f>IF(A13="","",IF(J13=0,"Correct period","Exception"))</x:f>
      </x:c>
      <x:c r="L13" s="53"/>
    </x:row>
    <x:row r="14">
      <x:c r="A14" s="53"/>
      <x:c r="B14" s="53"/>
      <x:c r="C14" s="53"/>
      <x:c r="D14" s="66"/>
      <x:c r="E14" s="66"/>
      <x:c r="F14" s="53"/>
      <x:c r="G14" s="53"/>
      <x:c r="H14" s="53"/>
      <x:c r="I14" s="55"/>
      <x:c r="J14" s="56" t="n">
        <x:f>IF(OR(F14="",G14=""),0,IF(F14=G14,0,I14))</x:f>
        <x:v>0</x:v>
      </x:c>
      <x:c r="K14" s="54" t="str">
        <x:f>IF(A14="","",IF(J14=0,"Correct period","Exception"))</x:f>
      </x:c>
      <x:c r="L14" s="53"/>
    </x:row>
    <x:row r="15">
      <x:c r="A15" s="53"/>
      <x:c r="B15" s="53"/>
      <x:c r="C15" s="53"/>
      <x:c r="D15" s="66"/>
      <x:c r="E15" s="66"/>
      <x:c r="F15" s="53"/>
      <x:c r="G15" s="53"/>
      <x:c r="H15" s="53"/>
      <x:c r="I15" s="55"/>
      <x:c r="J15" s="56" t="n">
        <x:f>IF(OR(F15="",G15=""),0,IF(F15=G15,0,I15))</x:f>
        <x:v>0</x:v>
      </x:c>
      <x:c r="K15" s="54" t="str">
        <x:f>IF(A15="","",IF(J15=0,"Correct period","Exception"))</x:f>
      </x:c>
      <x:c r="L15" s="53"/>
    </x:row>
    <x:row r="16">
      <x:c r="A16" s="53"/>
      <x:c r="B16" s="53"/>
      <x:c r="C16" s="53"/>
      <x:c r="D16" s="66"/>
      <x:c r="E16" s="66"/>
      <x:c r="F16" s="53"/>
      <x:c r="G16" s="53"/>
      <x:c r="H16" s="53"/>
      <x:c r="I16" s="55"/>
      <x:c r="J16" s="56" t="n">
        <x:f>IF(OR(F16="",G16=""),0,IF(F16=G16,0,I16))</x:f>
        <x:v>0</x:v>
      </x:c>
      <x:c r="K16" s="54" t="str">
        <x:f>IF(A16="","",IF(J16=0,"Correct period","Exception"))</x:f>
      </x:c>
      <x:c r="L16" s="53"/>
    </x:row>
    <x:row r="17">
      <x:c r="A17" s="53"/>
      <x:c r="B17" s="53"/>
      <x:c r="C17" s="53"/>
      <x:c r="D17" s="66"/>
      <x:c r="E17" s="66"/>
      <x:c r="F17" s="53"/>
      <x:c r="G17" s="53"/>
      <x:c r="H17" s="53"/>
      <x:c r="I17" s="55"/>
      <x:c r="J17" s="56" t="n">
        <x:f>IF(OR(F17="",G17=""),0,IF(F17=G17,0,I17))</x:f>
        <x:v>0</x:v>
      </x:c>
      <x:c r="K17" s="54" t="str">
        <x:f>IF(A17="","",IF(J17=0,"Correct period","Exception"))</x:f>
      </x:c>
      <x:c r="L17" s="53"/>
    </x:row>
    <x:row r="18">
      <x:c r="A18" s="53"/>
      <x:c r="B18" s="53"/>
      <x:c r="C18" s="53"/>
      <x:c r="D18" s="66"/>
      <x:c r="E18" s="66"/>
      <x:c r="F18" s="53"/>
      <x:c r="G18" s="53"/>
      <x:c r="H18" s="53"/>
      <x:c r="I18" s="55"/>
      <x:c r="J18" s="56" t="n">
        <x:f>IF(OR(F18="",G18=""),0,IF(F18=G18,0,I18))</x:f>
        <x:v>0</x:v>
      </x:c>
      <x:c r="K18" s="54" t="str">
        <x:f>IF(A18="","",IF(J18=0,"Correct period","Exception"))</x:f>
      </x:c>
      <x:c r="L18" s="53"/>
    </x:row>
    <x:row r="19">
      <x:c r="A19" s="53"/>
      <x:c r="B19" s="53"/>
      <x:c r="C19" s="53"/>
      <x:c r="D19" s="66"/>
      <x:c r="E19" s="66"/>
      <x:c r="F19" s="53"/>
      <x:c r="G19" s="53"/>
      <x:c r="H19" s="53"/>
      <x:c r="I19" s="55"/>
      <x:c r="J19" s="56" t="n">
        <x:f>IF(OR(F19="",G19=""),0,IF(F19=G19,0,I19))</x:f>
        <x:v>0</x:v>
      </x:c>
      <x:c r="K19" s="54" t="str">
        <x:f>IF(A19="","",IF(J19=0,"Correct period","Exception"))</x:f>
      </x:c>
      <x:c r="L19" s="53"/>
    </x:row>
    <x:row r="20">
      <x:c r="A20" s="53"/>
      <x:c r="B20" s="53"/>
      <x:c r="C20" s="53"/>
      <x:c r="D20" s="66"/>
      <x:c r="E20" s="66"/>
      <x:c r="F20" s="53"/>
      <x:c r="G20" s="53"/>
      <x:c r="H20" s="53"/>
      <x:c r="I20" s="55"/>
      <x:c r="J20" s="56" t="n">
        <x:f>IF(OR(F20="",G20=""),0,IF(F20=G20,0,I20))</x:f>
        <x:v>0</x:v>
      </x:c>
      <x:c r="K20" s="54" t="str">
        <x:f>IF(A20="","",IF(J20=0,"Correct period","Exception"))</x:f>
      </x:c>
      <x:c r="L20" s="53"/>
    </x:row>
    <x:row r="21">
      <x:c r="A21" s="53"/>
      <x:c r="B21" s="53"/>
      <x:c r="C21" s="53"/>
      <x:c r="D21" s="66"/>
      <x:c r="E21" s="66"/>
      <x:c r="F21" s="53"/>
      <x:c r="G21" s="53"/>
      <x:c r="H21" s="53"/>
      <x:c r="I21" s="55"/>
      <x:c r="J21" s="56" t="n">
        <x:f>IF(OR(F21="",G21=""),0,IF(F21=G21,0,I21))</x:f>
        <x:v>0</x:v>
      </x:c>
      <x:c r="K21" s="54" t="str">
        <x:f>IF(A21="","",IF(J21=0,"Correct period","Exception"))</x:f>
      </x:c>
      <x:c r="L21" s="53"/>
    </x:row>
    <x:row r="22">
      <x:c r="A22" s="53"/>
      <x:c r="B22" s="53"/>
      <x:c r="C22" s="53"/>
      <x:c r="D22" s="66"/>
      <x:c r="E22" s="66"/>
      <x:c r="F22" s="53"/>
      <x:c r="G22" s="53"/>
      <x:c r="H22" s="53"/>
      <x:c r="I22" s="55"/>
      <x:c r="J22" s="56" t="n">
        <x:f>IF(OR(F22="",G22=""),0,IF(F22=G22,0,I22))</x:f>
        <x:v>0</x:v>
      </x:c>
      <x:c r="K22" s="54" t="str">
        <x:f>IF(A22="","",IF(J22=0,"Correct period","Exception"))</x:f>
      </x:c>
      <x:c r="L22" s="53"/>
    </x:row>
    <x:row r="23">
      <x:c r="A23" s="53"/>
      <x:c r="B23" s="53"/>
      <x:c r="C23" s="53"/>
      <x:c r="D23" s="66"/>
      <x:c r="E23" s="66"/>
      <x:c r="F23" s="53"/>
      <x:c r="G23" s="53"/>
      <x:c r="H23" s="53"/>
      <x:c r="I23" s="55"/>
      <x:c r="J23" s="56" t="n">
        <x:f>IF(OR(F23="",G23=""),0,IF(F23=G23,0,I23))</x:f>
        <x:v>0</x:v>
      </x:c>
      <x:c r="K23" s="54" t="str">
        <x:f>IF(A23="","",IF(J23=0,"Correct period","Exception"))</x:f>
      </x:c>
      <x:c r="L23" s="53"/>
    </x:row>
    <x:row r="24">
      <x:c r="A24" s="53"/>
      <x:c r="B24" s="53"/>
      <x:c r="C24" s="53"/>
      <x:c r="D24" s="66"/>
      <x:c r="E24" s="66"/>
      <x:c r="F24" s="53"/>
      <x:c r="G24" s="53"/>
      <x:c r="H24" s="53"/>
      <x:c r="I24" s="55"/>
      <x:c r="J24" s="56" t="n">
        <x:f>IF(OR(F24="",G24=""),0,IF(F24=G24,0,I24))</x:f>
        <x:v>0</x:v>
      </x:c>
      <x:c r="K24" s="54" t="str">
        <x:f>IF(A24="","",IF(J24=0,"Correct period","Exception"))</x:f>
      </x:c>
      <x:c r="L24" s="53"/>
    </x:row>
    <x:row r="25">
      <x:c r="A25" s="53"/>
      <x:c r="B25" s="53"/>
      <x:c r="C25" s="53"/>
      <x:c r="D25" s="66"/>
      <x:c r="E25" s="66"/>
      <x:c r="F25" s="53"/>
      <x:c r="G25" s="53"/>
      <x:c r="H25" s="53"/>
      <x:c r="I25" s="55"/>
      <x:c r="J25" s="56" t="n">
        <x:f>IF(OR(F25="",G25=""),0,IF(F25=G25,0,I25))</x:f>
        <x:v>0</x:v>
      </x:c>
      <x:c r="K25" s="54" t="str">
        <x:f>IF(A25="","",IF(J25=0,"Correct period","Exception"))</x:f>
      </x:c>
      <x:c r="L25" s="53"/>
    </x:row>
    <x:row r="26">
      <x:c r="A26" s="53"/>
      <x:c r="B26" s="53"/>
      <x:c r="C26" s="53"/>
      <x:c r="D26" s="66"/>
      <x:c r="E26" s="66"/>
      <x:c r="F26" s="53"/>
      <x:c r="G26" s="53"/>
      <x:c r="H26" s="53"/>
      <x:c r="I26" s="55"/>
      <x:c r="J26" s="56" t="n">
        <x:f>IF(OR(F26="",G26=""),0,IF(F26=G26,0,I26))</x:f>
        <x:v>0</x:v>
      </x:c>
      <x:c r="K26" s="54" t="str">
        <x:f>IF(A26="","",IF(J26=0,"Correct period","Exception"))</x:f>
      </x:c>
      <x:c r="L26" s="53"/>
    </x:row>
    <x:row r="27">
      <x:c r="A27" s="53"/>
      <x:c r="B27" s="53"/>
      <x:c r="C27" s="53"/>
      <x:c r="D27" s="66"/>
      <x:c r="E27" s="66"/>
      <x:c r="F27" s="53"/>
      <x:c r="G27" s="53"/>
      <x:c r="H27" s="53"/>
      <x:c r="I27" s="55"/>
      <x:c r="J27" s="56" t="n">
        <x:f>IF(OR(F27="",G27=""),0,IF(F27=G27,0,I27))</x:f>
        <x:v>0</x:v>
      </x:c>
      <x:c r="K27" s="54" t="str">
        <x:f>IF(A27="","",IF(J27=0,"Correct period","Exception"))</x:f>
      </x:c>
      <x:c r="L27" s="53"/>
    </x:row>
    <x:row r="28">
      <x:c r="A28" s="53"/>
      <x:c r="B28" s="53"/>
      <x:c r="C28" s="53"/>
      <x:c r="D28" s="66"/>
      <x:c r="E28" s="66"/>
      <x:c r="F28" s="53"/>
      <x:c r="G28" s="53"/>
      <x:c r="H28" s="53"/>
      <x:c r="I28" s="55"/>
      <x:c r="J28" s="56" t="n">
        <x:f>IF(OR(F28="",G28=""),0,IF(F28=G28,0,I28))</x:f>
        <x:v>0</x:v>
      </x:c>
      <x:c r="K28" s="54" t="str">
        <x:f>IF(A28="","",IF(J28=0,"Correct period","Exception"))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F-05-GL: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8" priority="1" operator="containsText" text="Exception"/>
    <x:cfRule type="containsText" dxfId="9" priority="2" operator="containsText" text="Investigate"/>
  </x:conditionalFormatting>
  <x:dataValidations count="5">
    <x:dataValidation type="list" sqref="J3">
      <x:formula1>"Not started,In progress,Prepared,Reviewed"</x:formula1>
    </x:dataValidation>
    <x:dataValidation type="list" sqref="B9:B28">
      <x:formula1>"Receipt,Dispatch,Production,Transfer,Return"</x:formula1>
    </x:dataValidation>
    <x:dataValidation type="list" sqref="F9:F28">
      <x:formula1>"Current year,Next year,Prior year"</x:formula1>
    </x:dataValidation>
    <x:dataValidation type="list" sqref="G9:G28">
      <x:formula1>"Current year,Next year,Prior year"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F - Inventory | F-06-GL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F-06-GL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(Existence, completeness, valuation and presentation): Determine whether inventory cost is calculated consistently with the accounting policy and excludes abnormal, selling, financing or non-attributable costs.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Understand costing methods by category. Select raw materials, WIP and finished goods; agree purchase cost to invoices, test labour/overhead rates and production volumes, recalculate standard-to-actual variances and cost build-ups, assess consistency of FIFO/weighted-average methods, and reconcile valuation adjustments to the ledger.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SKU / description</x:v>
      </x:c>
      <x:c r="B8" s="48" t="str">
        <x:v>Inventory category</x:v>
      </x:c>
      <x:c r="C8" s="48" t="str">
        <x:v>Quantity</x:v>
      </x:c>
      <x:c r="D8" s="48" t="str">
        <x:v>Client unit cost</x:v>
      </x:c>
      <x:c r="E8" s="48" t="str">
        <x:v>Tested materials</x:v>
      </x:c>
      <x:c r="F8" s="48" t="str">
        <x:v>Tested labour</x:v>
      </x:c>
      <x:c r="G8" s="48" t="str">
        <x:v>Tested overhead</x:v>
      </x:c>
      <x:c r="H8" s="48" t="str">
        <x:v>Auditor unit cost</x:v>
      </x:c>
      <x:c r="I8" s="48" t="str">
        <x:v>Unit-cost difference</x:v>
      </x:c>
      <x:c r="J8" s="48" t="str">
        <x:v>Total valuation difference</x:v>
      </x:c>
      <x:c r="K8" s="48" t="str">
        <x:v>Result</x:v>
      </x:c>
      <x:c r="L8" s="48" t="str">
        <x:v>Tickmarks</x:v>
      </x:c>
    </x:row>
    <x:row r="9">
      <x:c r="A9" s="53"/>
      <x:c r="B9" s="53"/>
      <x:c r="C9" s="53"/>
      <x:c r="D9" s="55"/>
      <x:c r="E9" s="55"/>
      <x:c r="F9" s="55"/>
      <x:c r="G9" s="55"/>
      <x:c r="H9" s="56" t="n">
        <x:f>E9+F9+G9</x:f>
        <x:v>0</x:v>
      </x:c>
      <x:c r="I9" s="56" t="n">
        <x:f>H9-D9</x:f>
        <x:v>0</x:v>
      </x:c>
      <x:c r="J9" s="56" t="n">
        <x:f>I9*C9</x:f>
        <x:v>0</x:v>
      </x:c>
      <x:c r="K9" s="54" t="str">
        <x:f>IF(A9="","",IF(ABS(J9)&lt;='General'!$B$11,"Cleared","Exception"))</x:f>
      </x:c>
      <x:c r="L9" s="53"/>
    </x:row>
    <x:row r="10">
      <x:c r="A10" s="53"/>
      <x:c r="B10" s="53"/>
      <x:c r="C10" s="53"/>
      <x:c r="D10" s="55"/>
      <x:c r="E10" s="55"/>
      <x:c r="F10" s="55"/>
      <x:c r="G10" s="55"/>
      <x:c r="H10" s="56" t="n">
        <x:f>E10+F10+G10</x:f>
        <x:v>0</x:v>
      </x:c>
      <x:c r="I10" s="56" t="n">
        <x:f>H10-D10</x:f>
        <x:v>0</x:v>
      </x:c>
      <x:c r="J10" s="56" t="n">
        <x:f>I10*C10</x:f>
        <x:v>0</x:v>
      </x:c>
      <x:c r="K10" s="54" t="str">
        <x:f>IF(A10="","",IF(ABS(J10)&lt;='General'!$B$11,"Cleared","Exception"))</x:f>
      </x:c>
      <x:c r="L10" s="53"/>
    </x:row>
    <x:row r="11">
      <x:c r="A11" s="53"/>
      <x:c r="B11" s="53"/>
      <x:c r="C11" s="53"/>
      <x:c r="D11" s="55"/>
      <x:c r="E11" s="55"/>
      <x:c r="F11" s="55"/>
      <x:c r="G11" s="55"/>
      <x:c r="H11" s="56" t="n">
        <x:f>E11+F11+G11</x:f>
        <x:v>0</x:v>
      </x:c>
      <x:c r="I11" s="56" t="n">
        <x:f>H11-D11</x:f>
        <x:v>0</x:v>
      </x:c>
      <x:c r="J11" s="56" t="n">
        <x:f>I11*C11</x:f>
        <x:v>0</x:v>
      </x:c>
      <x:c r="K11" s="54" t="str">
        <x:f>IF(A11="","",IF(ABS(J11)&lt;='General'!$B$11,"Cleared","Exception"))</x:f>
      </x:c>
      <x:c r="L11" s="53"/>
    </x:row>
    <x:row r="12">
      <x:c r="A12" s="53"/>
      <x:c r="B12" s="53"/>
      <x:c r="C12" s="53"/>
      <x:c r="D12" s="55"/>
      <x:c r="E12" s="55"/>
      <x:c r="F12" s="55"/>
      <x:c r="G12" s="55"/>
      <x:c r="H12" s="56" t="n">
        <x:f>E12+F12+G12</x:f>
        <x:v>0</x:v>
      </x:c>
      <x:c r="I12" s="56" t="n">
        <x:f>H12-D12</x:f>
        <x:v>0</x:v>
      </x:c>
      <x:c r="J12" s="56" t="n">
        <x:f>I12*C12</x:f>
        <x:v>0</x:v>
      </x:c>
      <x:c r="K12" s="54" t="str">
        <x:f>IF(A12="","",IF(ABS(J12)&lt;='General'!$B$11,"Cleared","Exception"))</x:f>
      </x:c>
      <x:c r="L12" s="53"/>
    </x:row>
    <x:row r="13">
      <x:c r="A13" s="53"/>
      <x:c r="B13" s="53"/>
      <x:c r="C13" s="53"/>
      <x:c r="D13" s="55"/>
      <x:c r="E13" s="55"/>
      <x:c r="F13" s="55"/>
      <x:c r="G13" s="55"/>
      <x:c r="H13" s="56" t="n">
        <x:f>E13+F13+G13</x:f>
        <x:v>0</x:v>
      </x:c>
      <x:c r="I13" s="56" t="n">
        <x:f>H13-D13</x:f>
        <x:v>0</x:v>
      </x:c>
      <x:c r="J13" s="56" t="n">
        <x:f>I13*C13</x:f>
        <x:v>0</x:v>
      </x:c>
      <x:c r="K13" s="54" t="str">
        <x:f>IF(A13="","",IF(ABS(J13)&lt;='General'!$B$11,"Cleared","Exception"))</x:f>
      </x:c>
      <x:c r="L13" s="53"/>
    </x:row>
    <x:row r="14">
      <x:c r="A14" s="53"/>
      <x:c r="B14" s="53"/>
      <x:c r="C14" s="53"/>
      <x:c r="D14" s="55"/>
      <x:c r="E14" s="55"/>
      <x:c r="F14" s="55"/>
      <x:c r="G14" s="55"/>
      <x:c r="H14" s="56" t="n">
        <x:f>E14+F14+G14</x:f>
        <x:v>0</x:v>
      </x:c>
      <x:c r="I14" s="56" t="n">
        <x:f>H14-D14</x:f>
        <x:v>0</x:v>
      </x:c>
      <x:c r="J14" s="56" t="n">
        <x:f>I14*C14</x:f>
        <x:v>0</x:v>
      </x:c>
      <x:c r="K14" s="54" t="str">
        <x:f>IF(A14="","",IF(ABS(J14)&lt;='General'!$B$11,"Cleared","Exception"))</x:f>
      </x:c>
      <x:c r="L14" s="53"/>
    </x:row>
    <x:row r="15">
      <x:c r="A15" s="53"/>
      <x:c r="B15" s="53"/>
      <x:c r="C15" s="53"/>
      <x:c r="D15" s="55"/>
      <x:c r="E15" s="55"/>
      <x:c r="F15" s="55"/>
      <x:c r="G15" s="55"/>
      <x:c r="H15" s="56" t="n">
        <x:f>E15+F15+G15</x:f>
        <x:v>0</x:v>
      </x:c>
      <x:c r="I15" s="56" t="n">
        <x:f>H15-D15</x:f>
        <x:v>0</x:v>
      </x:c>
      <x:c r="J15" s="56" t="n">
        <x:f>I15*C15</x:f>
        <x:v>0</x:v>
      </x:c>
      <x:c r="K15" s="54" t="str">
        <x:f>IF(A15="","",IF(ABS(J15)&lt;='General'!$B$11,"Cleared","Exception"))</x:f>
      </x:c>
      <x:c r="L15" s="53"/>
    </x:row>
    <x:row r="16">
      <x:c r="A16" s="53"/>
      <x:c r="B16" s="53"/>
      <x:c r="C16" s="53"/>
      <x:c r="D16" s="55"/>
      <x:c r="E16" s="55"/>
      <x:c r="F16" s="55"/>
      <x:c r="G16" s="55"/>
      <x:c r="H16" s="56" t="n">
        <x:f>E16+F16+G16</x:f>
        <x:v>0</x:v>
      </x:c>
      <x:c r="I16" s="56" t="n">
        <x:f>H16-D16</x:f>
        <x:v>0</x:v>
      </x:c>
      <x:c r="J16" s="56" t="n">
        <x:f>I16*C16</x:f>
        <x:v>0</x:v>
      </x:c>
      <x:c r="K16" s="54" t="str">
        <x:f>IF(A16="","",IF(ABS(J16)&lt;='General'!$B$11,"Cleared","Exception"))</x:f>
      </x:c>
      <x:c r="L16" s="53"/>
    </x:row>
    <x:row r="17">
      <x:c r="A17" s="53"/>
      <x:c r="B17" s="53"/>
      <x:c r="C17" s="53"/>
      <x:c r="D17" s="55"/>
      <x:c r="E17" s="55"/>
      <x:c r="F17" s="55"/>
      <x:c r="G17" s="55"/>
      <x:c r="H17" s="56" t="n">
        <x:f>E17+F17+G17</x:f>
        <x:v>0</x:v>
      </x:c>
      <x:c r="I17" s="56" t="n">
        <x:f>H17-D17</x:f>
        <x:v>0</x:v>
      </x:c>
      <x:c r="J17" s="56" t="n">
        <x:f>I17*C17</x:f>
        <x:v>0</x:v>
      </x:c>
      <x:c r="K17" s="54" t="str">
        <x:f>IF(A17="","",IF(ABS(J17)&lt;='General'!$B$11,"Cleared","Exception"))</x:f>
      </x:c>
      <x:c r="L17" s="53"/>
    </x:row>
    <x:row r="18">
      <x:c r="A18" s="53"/>
      <x:c r="B18" s="53"/>
      <x:c r="C18" s="53"/>
      <x:c r="D18" s="55"/>
      <x:c r="E18" s="55"/>
      <x:c r="F18" s="55"/>
      <x:c r="G18" s="55"/>
      <x:c r="H18" s="56" t="n">
        <x:f>E18+F18+G18</x:f>
        <x:v>0</x:v>
      </x:c>
      <x:c r="I18" s="56" t="n">
        <x:f>H18-D18</x:f>
        <x:v>0</x:v>
      </x:c>
      <x:c r="J18" s="56" t="n">
        <x:f>I18*C18</x:f>
        <x:v>0</x:v>
      </x:c>
      <x:c r="K18" s="54" t="str">
        <x:f>IF(A18="","",IF(ABS(J18)&lt;='General'!$B$11,"Cleared","Exception"))</x:f>
      </x:c>
      <x:c r="L18" s="53"/>
    </x:row>
    <x:row r="19">
      <x:c r="A19" s="53"/>
      <x:c r="B19" s="53"/>
      <x:c r="C19" s="53"/>
      <x:c r="D19" s="55"/>
      <x:c r="E19" s="55"/>
      <x:c r="F19" s="55"/>
      <x:c r="G19" s="55"/>
      <x:c r="H19" s="56" t="n">
        <x:f>E19+F19+G19</x:f>
        <x:v>0</x:v>
      </x:c>
      <x:c r="I19" s="56" t="n">
        <x:f>H19-D19</x:f>
        <x:v>0</x:v>
      </x:c>
      <x:c r="J19" s="56" t="n">
        <x:f>I19*C19</x:f>
        <x:v>0</x:v>
      </x:c>
      <x:c r="K19" s="54" t="str">
        <x:f>IF(A19="","",IF(ABS(J19)&lt;='General'!$B$11,"Cleared","Exception"))</x:f>
      </x:c>
      <x:c r="L19" s="53"/>
    </x:row>
    <x:row r="20">
      <x:c r="A20" s="53"/>
      <x:c r="B20" s="53"/>
      <x:c r="C20" s="53"/>
      <x:c r="D20" s="55"/>
      <x:c r="E20" s="55"/>
      <x:c r="F20" s="55"/>
      <x:c r="G20" s="55"/>
      <x:c r="H20" s="56" t="n">
        <x:f>E20+F20+G20</x:f>
        <x:v>0</x:v>
      </x:c>
      <x:c r="I20" s="56" t="n">
        <x:f>H20-D20</x:f>
        <x:v>0</x:v>
      </x:c>
      <x:c r="J20" s="56" t="n">
        <x:f>I20*C20</x:f>
        <x:v>0</x:v>
      </x:c>
      <x:c r="K20" s="54" t="str">
        <x:f>IF(A20="","",IF(ABS(J20)&lt;='General'!$B$11,"Cleared","Exception"))</x:f>
      </x:c>
      <x:c r="L20" s="53"/>
    </x:row>
    <x:row r="21">
      <x:c r="A21" s="53"/>
      <x:c r="B21" s="53"/>
      <x:c r="C21" s="53"/>
      <x:c r="D21" s="55"/>
      <x:c r="E21" s="55"/>
      <x:c r="F21" s="55"/>
      <x:c r="G21" s="55"/>
      <x:c r="H21" s="56" t="n">
        <x:f>E21+F21+G21</x:f>
        <x:v>0</x:v>
      </x:c>
      <x:c r="I21" s="56" t="n">
        <x:f>H21-D21</x:f>
        <x:v>0</x:v>
      </x:c>
      <x:c r="J21" s="56" t="n">
        <x:f>I21*C21</x:f>
        <x:v>0</x:v>
      </x:c>
      <x:c r="K21" s="54" t="str">
        <x:f>IF(A21="","",IF(ABS(J21)&lt;='General'!$B$11,"Cleared","Exception"))</x:f>
      </x:c>
      <x:c r="L21" s="53"/>
    </x:row>
    <x:row r="22">
      <x:c r="A22" s="53"/>
      <x:c r="B22" s="53"/>
      <x:c r="C22" s="53"/>
      <x:c r="D22" s="55"/>
      <x:c r="E22" s="55"/>
      <x:c r="F22" s="55"/>
      <x:c r="G22" s="55"/>
      <x:c r="H22" s="56" t="n">
        <x:f>E22+F22+G22</x:f>
        <x:v>0</x:v>
      </x:c>
      <x:c r="I22" s="56" t="n">
        <x:f>H22-D22</x:f>
        <x:v>0</x:v>
      </x:c>
      <x:c r="J22" s="56" t="n">
        <x:f>I22*C22</x:f>
        <x:v>0</x:v>
      </x:c>
      <x:c r="K22" s="54" t="str">
        <x:f>IF(A22="","",IF(ABS(J22)&lt;='General'!$B$11,"Cleared","Exception"))</x:f>
      </x:c>
      <x:c r="L22" s="53"/>
    </x:row>
    <x:row r="23">
      <x:c r="A23" s="53"/>
      <x:c r="B23" s="53"/>
      <x:c r="C23" s="53"/>
      <x:c r="D23" s="55"/>
      <x:c r="E23" s="55"/>
      <x:c r="F23" s="55"/>
      <x:c r="G23" s="55"/>
      <x:c r="H23" s="56" t="n">
        <x:f>E23+F23+G23</x:f>
        <x:v>0</x:v>
      </x:c>
      <x:c r="I23" s="56" t="n">
        <x:f>H23-D23</x:f>
        <x:v>0</x:v>
      </x:c>
      <x:c r="J23" s="56" t="n">
        <x:f>I23*C23</x:f>
        <x:v>0</x:v>
      </x:c>
      <x:c r="K23" s="54" t="str">
        <x:f>IF(A23="","",IF(ABS(J23)&lt;='General'!$B$11,"Cleared","Exception"))</x:f>
      </x:c>
      <x:c r="L23" s="53"/>
    </x:row>
    <x:row r="24">
      <x:c r="A24" s="53"/>
      <x:c r="B24" s="53"/>
      <x:c r="C24" s="53"/>
      <x:c r="D24" s="55"/>
      <x:c r="E24" s="55"/>
      <x:c r="F24" s="55"/>
      <x:c r="G24" s="55"/>
      <x:c r="H24" s="56" t="n">
        <x:f>E24+F24+G24</x:f>
        <x:v>0</x:v>
      </x:c>
      <x:c r="I24" s="56" t="n">
        <x:f>H24-D24</x:f>
        <x:v>0</x:v>
      </x:c>
      <x:c r="J24" s="56" t="n">
        <x:f>I24*C24</x:f>
        <x:v>0</x:v>
      </x:c>
      <x:c r="K24" s="54" t="str">
        <x:f>IF(A24="","",IF(ABS(J24)&lt;='General'!$B$11,"Cleared","Exception"))</x:f>
      </x:c>
      <x:c r="L24" s="53"/>
    </x:row>
    <x:row r="25">
      <x:c r="A25" s="53"/>
      <x:c r="B25" s="53"/>
      <x:c r="C25" s="53"/>
      <x:c r="D25" s="55"/>
      <x:c r="E25" s="55"/>
      <x:c r="F25" s="55"/>
      <x:c r="G25" s="55"/>
      <x:c r="H25" s="56" t="n">
        <x:f>E25+F25+G25</x:f>
        <x:v>0</x:v>
      </x:c>
      <x:c r="I25" s="56" t="n">
        <x:f>H25-D25</x:f>
        <x:v>0</x:v>
      </x:c>
      <x:c r="J25" s="56" t="n">
        <x:f>I25*C25</x:f>
        <x:v>0</x:v>
      </x:c>
      <x:c r="K25" s="54" t="str">
        <x:f>IF(A25="","",IF(ABS(J25)&lt;='General'!$B$11,"Cleared","Exception"))</x:f>
      </x:c>
      <x:c r="L25" s="53"/>
    </x:row>
    <x:row r="26">
      <x:c r="A26" s="53"/>
      <x:c r="B26" s="53"/>
      <x:c r="C26" s="53"/>
      <x:c r="D26" s="55"/>
      <x:c r="E26" s="55"/>
      <x:c r="F26" s="55"/>
      <x:c r="G26" s="55"/>
      <x:c r="H26" s="56" t="n">
        <x:f>E26+F26+G26</x:f>
        <x:v>0</x:v>
      </x:c>
      <x:c r="I26" s="56" t="n">
        <x:f>H26-D26</x:f>
        <x:v>0</x:v>
      </x:c>
      <x:c r="J26" s="56" t="n">
        <x:f>I26*C26</x:f>
        <x:v>0</x:v>
      </x:c>
      <x:c r="K26" s="54" t="str">
        <x:f>IF(A26="","",IF(ABS(J26)&lt;='General'!$B$11,"Cleared","Exception"))</x:f>
      </x:c>
      <x:c r="L26" s="53"/>
    </x:row>
    <x:row r="27">
      <x:c r="A27" s="53"/>
      <x:c r="B27" s="53"/>
      <x:c r="C27" s="53"/>
      <x:c r="D27" s="55"/>
      <x:c r="E27" s="55"/>
      <x:c r="F27" s="55"/>
      <x:c r="G27" s="55"/>
      <x:c r="H27" s="56" t="n">
        <x:f>E27+F27+G27</x:f>
        <x:v>0</x:v>
      </x:c>
      <x:c r="I27" s="56" t="n">
        <x:f>H27-D27</x:f>
        <x:v>0</x:v>
      </x:c>
      <x:c r="J27" s="56" t="n">
        <x:f>I27*C27</x:f>
        <x:v>0</x:v>
      </x:c>
      <x:c r="K27" s="54" t="str">
        <x:f>IF(A27="","",IF(ABS(J27)&lt;='General'!$B$11,"Cleared","Exception"))</x:f>
      </x:c>
      <x:c r="L27" s="53"/>
    </x:row>
    <x:row r="28">
      <x:c r="A28" s="53"/>
      <x:c r="B28" s="53"/>
      <x:c r="C28" s="53"/>
      <x:c r="D28" s="55"/>
      <x:c r="E28" s="55"/>
      <x:c r="F28" s="55"/>
      <x:c r="G28" s="55"/>
      <x:c r="H28" s="56" t="n">
        <x:f>E28+F28+G28</x:f>
        <x:v>0</x:v>
      </x:c>
      <x:c r="I28" s="56" t="n">
        <x:f>H28-D28</x:f>
        <x:v>0</x:v>
      </x:c>
      <x:c r="J28" s="56" t="n">
        <x:f>I28*C28</x:f>
        <x:v>0</x:v>
      </x:c>
      <x:c r="K28" s="54" t="str">
        <x:f>IF(A28="","",IF(ABS(J28)&lt;='General'!$B$11,"Cleared","Exception"))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F-06-GL: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10" priority="1" operator="containsText" text="Exception"/>
    <x:cfRule type="containsText" dxfId="11" priority="2" operator="containsText" text="Investigate"/>
  </x:conditionalFormatting>
  <x:dataValidations count="3">
    <x:dataValidation type="list" sqref="J3">
      <x:formula1>"Not started,In progress,Prepared,Reviewed"</x:formula1>
    </x:dataValidation>
    <x:dataValidation type="list" sqref="B9:B28">
      <x:formula1>"Raw materials,Work in progress,Finished goods,Merchandise,Other"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F - Inventory | F-07-GL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F-07-GL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(Valuation): Determine whether inventory is stated at the lower of cost and net realizable value and whether obsolete, slow-moving or damaged items are adequately provided for.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Test ageing and movement reports for completeness, inspect condition observations, compare cost to post-year-end selling prices less completion/selling costs, evaluate slow-moving and obsolete provision rules, test management overlays and reversals, recalculate the required write-down and quantify differences.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SKU / description</x:v>
      </x:c>
      <x:c r="B8" s="48" t="str">
        <x:v>Quantity</x:v>
      </x:c>
      <x:c r="C8" s="48" t="str">
        <x:v>Cost per unit</x:v>
      </x:c>
      <x:c r="D8" s="48" t="str">
        <x:v>Expected selling price</x:v>
      </x:c>
      <x:c r="E8" s="48" t="str">
        <x:v>Completion costs / unit</x:v>
      </x:c>
      <x:c r="F8" s="48" t="str">
        <x:v>Selling costs / unit</x:v>
      </x:c>
      <x:c r="G8" s="48" t="str">
        <x:v>NRV per unit</x:v>
      </x:c>
      <x:c r="H8" s="48" t="str">
        <x:v>Lower of cost and NRV</x:v>
      </x:c>
      <x:c r="I8" s="48" t="str">
        <x:v>Book value</x:v>
      </x:c>
      <x:c r="J8" s="48" t="str">
        <x:v>Required write-down</x:v>
      </x:c>
      <x:c r="K8" s="48" t="str">
        <x:v>Result</x:v>
      </x:c>
      <x:c r="L8" s="48" t="str">
        <x:v>Tickmarks</x:v>
      </x:c>
    </x:row>
    <x:row r="9">
      <x:c r="A9" s="53"/>
      <x:c r="B9" s="53"/>
      <x:c r="C9" s="55"/>
      <x:c r="D9" s="55"/>
      <x:c r="E9" s="55"/>
      <x:c r="F9" s="55"/>
      <x:c r="G9" s="56" t="n">
        <x:f>D9-E9-F9</x:f>
        <x:v>0</x:v>
      </x:c>
      <x:c r="H9" s="56" t="n">
        <x:f>MIN(C9,G9)</x:f>
        <x:v>0</x:v>
      </x:c>
      <x:c r="I9" s="56" t="n">
        <x:f>B9*C9</x:f>
        <x:v>0</x:v>
      </x:c>
      <x:c r="J9" s="56" t="n">
        <x:f>MAX(0,I9-(B9*H9))</x:f>
        <x:v>0</x:v>
      </x:c>
      <x:c r="K9" s="54" t="str">
        <x:f>IF(A9="","",IF(J9&lt;='General'!$B$11,"Adequate / immaterial","Write-down required"))</x:f>
      </x:c>
      <x:c r="L9" s="53"/>
    </x:row>
    <x:row r="10">
      <x:c r="A10" s="53"/>
      <x:c r="B10" s="53"/>
      <x:c r="C10" s="55"/>
      <x:c r="D10" s="55"/>
      <x:c r="E10" s="55"/>
      <x:c r="F10" s="55"/>
      <x:c r="G10" s="56" t="n">
        <x:f>D10-E10-F10</x:f>
        <x:v>0</x:v>
      </x:c>
      <x:c r="H10" s="56" t="n">
        <x:f>MIN(C10,G10)</x:f>
        <x:v>0</x:v>
      </x:c>
      <x:c r="I10" s="56" t="n">
        <x:f>B10*C10</x:f>
        <x:v>0</x:v>
      </x:c>
      <x:c r="J10" s="56" t="n">
        <x:f>MAX(0,I10-(B10*H10))</x:f>
        <x:v>0</x:v>
      </x:c>
      <x:c r="K10" s="54" t="str">
        <x:f>IF(A10="","",IF(J10&lt;='General'!$B$11,"Adequate / immaterial","Write-down required"))</x:f>
      </x:c>
      <x:c r="L10" s="53"/>
    </x:row>
    <x:row r="11">
      <x:c r="A11" s="53"/>
      <x:c r="B11" s="53"/>
      <x:c r="C11" s="55"/>
      <x:c r="D11" s="55"/>
      <x:c r="E11" s="55"/>
      <x:c r="F11" s="55"/>
      <x:c r="G11" s="56" t="n">
        <x:f>D11-E11-F11</x:f>
        <x:v>0</x:v>
      </x:c>
      <x:c r="H11" s="56" t="n">
        <x:f>MIN(C11,G11)</x:f>
        <x:v>0</x:v>
      </x:c>
      <x:c r="I11" s="56" t="n">
        <x:f>B11*C11</x:f>
        <x:v>0</x:v>
      </x:c>
      <x:c r="J11" s="56" t="n">
        <x:f>MAX(0,I11-(B11*H11))</x:f>
        <x:v>0</x:v>
      </x:c>
      <x:c r="K11" s="54" t="str">
        <x:f>IF(A11="","",IF(J11&lt;='General'!$B$11,"Adequate / immaterial","Write-down required"))</x:f>
      </x:c>
      <x:c r="L11" s="53"/>
    </x:row>
    <x:row r="12">
      <x:c r="A12" s="53"/>
      <x:c r="B12" s="53"/>
      <x:c r="C12" s="55"/>
      <x:c r="D12" s="55"/>
      <x:c r="E12" s="55"/>
      <x:c r="F12" s="55"/>
      <x:c r="G12" s="56" t="n">
        <x:f>D12-E12-F12</x:f>
        <x:v>0</x:v>
      </x:c>
      <x:c r="H12" s="56" t="n">
        <x:f>MIN(C12,G12)</x:f>
        <x:v>0</x:v>
      </x:c>
      <x:c r="I12" s="56" t="n">
        <x:f>B12*C12</x:f>
        <x:v>0</x:v>
      </x:c>
      <x:c r="J12" s="56" t="n">
        <x:f>MAX(0,I12-(B12*H12))</x:f>
        <x:v>0</x:v>
      </x:c>
      <x:c r="K12" s="54" t="str">
        <x:f>IF(A12="","",IF(J12&lt;='General'!$B$11,"Adequate / immaterial","Write-down required"))</x:f>
      </x:c>
      <x:c r="L12" s="53"/>
    </x:row>
    <x:row r="13">
      <x:c r="A13" s="53"/>
      <x:c r="B13" s="53"/>
      <x:c r="C13" s="55"/>
      <x:c r="D13" s="55"/>
      <x:c r="E13" s="55"/>
      <x:c r="F13" s="55"/>
      <x:c r="G13" s="56" t="n">
        <x:f>D13-E13-F13</x:f>
        <x:v>0</x:v>
      </x:c>
      <x:c r="H13" s="56" t="n">
        <x:f>MIN(C13,G13)</x:f>
        <x:v>0</x:v>
      </x:c>
      <x:c r="I13" s="56" t="n">
        <x:f>B13*C13</x:f>
        <x:v>0</x:v>
      </x:c>
      <x:c r="J13" s="56" t="n">
        <x:f>MAX(0,I13-(B13*H13))</x:f>
        <x:v>0</x:v>
      </x:c>
      <x:c r="K13" s="54" t="str">
        <x:f>IF(A13="","",IF(J13&lt;='General'!$B$11,"Adequate / immaterial","Write-down required"))</x:f>
      </x:c>
      <x:c r="L13" s="53"/>
    </x:row>
    <x:row r="14">
      <x:c r="A14" s="53"/>
      <x:c r="B14" s="53"/>
      <x:c r="C14" s="55"/>
      <x:c r="D14" s="55"/>
      <x:c r="E14" s="55"/>
      <x:c r="F14" s="55"/>
      <x:c r="G14" s="56" t="n">
        <x:f>D14-E14-F14</x:f>
        <x:v>0</x:v>
      </x:c>
      <x:c r="H14" s="56" t="n">
        <x:f>MIN(C14,G14)</x:f>
        <x:v>0</x:v>
      </x:c>
      <x:c r="I14" s="56" t="n">
        <x:f>B14*C14</x:f>
        <x:v>0</x:v>
      </x:c>
      <x:c r="J14" s="56" t="n">
        <x:f>MAX(0,I14-(B14*H14))</x:f>
        <x:v>0</x:v>
      </x:c>
      <x:c r="K14" s="54" t="str">
        <x:f>IF(A14="","",IF(J14&lt;='General'!$B$11,"Adequate / immaterial","Write-down required"))</x:f>
      </x:c>
      <x:c r="L14" s="53"/>
    </x:row>
    <x:row r="15">
      <x:c r="A15" s="53"/>
      <x:c r="B15" s="53"/>
      <x:c r="C15" s="55"/>
      <x:c r="D15" s="55"/>
      <x:c r="E15" s="55"/>
      <x:c r="F15" s="55"/>
      <x:c r="G15" s="56" t="n">
        <x:f>D15-E15-F15</x:f>
        <x:v>0</x:v>
      </x:c>
      <x:c r="H15" s="56" t="n">
        <x:f>MIN(C15,G15)</x:f>
        <x:v>0</x:v>
      </x:c>
      <x:c r="I15" s="56" t="n">
        <x:f>B15*C15</x:f>
        <x:v>0</x:v>
      </x:c>
      <x:c r="J15" s="56" t="n">
        <x:f>MAX(0,I15-(B15*H15))</x:f>
        <x:v>0</x:v>
      </x:c>
      <x:c r="K15" s="54" t="str">
        <x:f>IF(A15="","",IF(J15&lt;='General'!$B$11,"Adequate / immaterial","Write-down required"))</x:f>
      </x:c>
      <x:c r="L15" s="53"/>
    </x:row>
    <x:row r="16">
      <x:c r="A16" s="53"/>
      <x:c r="B16" s="53"/>
      <x:c r="C16" s="55"/>
      <x:c r="D16" s="55"/>
      <x:c r="E16" s="55"/>
      <x:c r="F16" s="55"/>
      <x:c r="G16" s="56" t="n">
        <x:f>D16-E16-F16</x:f>
        <x:v>0</x:v>
      </x:c>
      <x:c r="H16" s="56" t="n">
        <x:f>MIN(C16,G16)</x:f>
        <x:v>0</x:v>
      </x:c>
      <x:c r="I16" s="56" t="n">
        <x:f>B16*C16</x:f>
        <x:v>0</x:v>
      </x:c>
      <x:c r="J16" s="56" t="n">
        <x:f>MAX(0,I16-(B16*H16))</x:f>
        <x:v>0</x:v>
      </x:c>
      <x:c r="K16" s="54" t="str">
        <x:f>IF(A16="","",IF(J16&lt;='General'!$B$11,"Adequate / immaterial","Write-down required"))</x:f>
      </x:c>
      <x:c r="L16" s="53"/>
    </x:row>
    <x:row r="17">
      <x:c r="A17" s="53"/>
      <x:c r="B17" s="53"/>
      <x:c r="C17" s="55"/>
      <x:c r="D17" s="55"/>
      <x:c r="E17" s="55"/>
      <x:c r="F17" s="55"/>
      <x:c r="G17" s="56" t="n">
        <x:f>D17-E17-F17</x:f>
        <x:v>0</x:v>
      </x:c>
      <x:c r="H17" s="56" t="n">
        <x:f>MIN(C17,G17)</x:f>
        <x:v>0</x:v>
      </x:c>
      <x:c r="I17" s="56" t="n">
        <x:f>B17*C17</x:f>
        <x:v>0</x:v>
      </x:c>
      <x:c r="J17" s="56" t="n">
        <x:f>MAX(0,I17-(B17*H17))</x:f>
        <x:v>0</x:v>
      </x:c>
      <x:c r="K17" s="54" t="str">
        <x:f>IF(A17="","",IF(J17&lt;='General'!$B$11,"Adequate / immaterial","Write-down required"))</x:f>
      </x:c>
      <x:c r="L17" s="53"/>
    </x:row>
    <x:row r="18">
      <x:c r="A18" s="53"/>
      <x:c r="B18" s="53"/>
      <x:c r="C18" s="55"/>
      <x:c r="D18" s="55"/>
      <x:c r="E18" s="55"/>
      <x:c r="F18" s="55"/>
      <x:c r="G18" s="56" t="n">
        <x:f>D18-E18-F18</x:f>
        <x:v>0</x:v>
      </x:c>
      <x:c r="H18" s="56" t="n">
        <x:f>MIN(C18,G18)</x:f>
        <x:v>0</x:v>
      </x:c>
      <x:c r="I18" s="56" t="n">
        <x:f>B18*C18</x:f>
        <x:v>0</x:v>
      </x:c>
      <x:c r="J18" s="56" t="n">
        <x:f>MAX(0,I18-(B18*H18))</x:f>
        <x:v>0</x:v>
      </x:c>
      <x:c r="K18" s="54" t="str">
        <x:f>IF(A18="","",IF(J18&lt;='General'!$B$11,"Adequate / immaterial","Write-down required"))</x:f>
      </x:c>
      <x:c r="L18" s="53"/>
    </x:row>
    <x:row r="19">
      <x:c r="A19" s="53"/>
      <x:c r="B19" s="53"/>
      <x:c r="C19" s="55"/>
      <x:c r="D19" s="55"/>
      <x:c r="E19" s="55"/>
      <x:c r="F19" s="55"/>
      <x:c r="G19" s="56" t="n">
        <x:f>D19-E19-F19</x:f>
        <x:v>0</x:v>
      </x:c>
      <x:c r="H19" s="56" t="n">
        <x:f>MIN(C19,G19)</x:f>
        <x:v>0</x:v>
      </x:c>
      <x:c r="I19" s="56" t="n">
        <x:f>B19*C19</x:f>
        <x:v>0</x:v>
      </x:c>
      <x:c r="J19" s="56" t="n">
        <x:f>MAX(0,I19-(B19*H19))</x:f>
        <x:v>0</x:v>
      </x:c>
      <x:c r="K19" s="54" t="str">
        <x:f>IF(A19="","",IF(J19&lt;='General'!$B$11,"Adequate / immaterial","Write-down required"))</x:f>
      </x:c>
      <x:c r="L19" s="53"/>
    </x:row>
    <x:row r="20">
      <x:c r="A20" s="53"/>
      <x:c r="B20" s="53"/>
      <x:c r="C20" s="55"/>
      <x:c r="D20" s="55"/>
      <x:c r="E20" s="55"/>
      <x:c r="F20" s="55"/>
      <x:c r="G20" s="56" t="n">
        <x:f>D20-E20-F20</x:f>
        <x:v>0</x:v>
      </x:c>
      <x:c r="H20" s="56" t="n">
        <x:f>MIN(C20,G20)</x:f>
        <x:v>0</x:v>
      </x:c>
      <x:c r="I20" s="56" t="n">
        <x:f>B20*C20</x:f>
        <x:v>0</x:v>
      </x:c>
      <x:c r="J20" s="56" t="n">
        <x:f>MAX(0,I20-(B20*H20))</x:f>
        <x:v>0</x:v>
      </x:c>
      <x:c r="K20" s="54" t="str">
        <x:f>IF(A20="","",IF(J20&lt;='General'!$B$11,"Adequate / immaterial","Write-down required"))</x:f>
      </x:c>
      <x:c r="L20" s="53"/>
    </x:row>
    <x:row r="21">
      <x:c r="A21" s="53"/>
      <x:c r="B21" s="53"/>
      <x:c r="C21" s="55"/>
      <x:c r="D21" s="55"/>
      <x:c r="E21" s="55"/>
      <x:c r="F21" s="55"/>
      <x:c r="G21" s="56" t="n">
        <x:f>D21-E21-F21</x:f>
        <x:v>0</x:v>
      </x:c>
      <x:c r="H21" s="56" t="n">
        <x:f>MIN(C21,G21)</x:f>
        <x:v>0</x:v>
      </x:c>
      <x:c r="I21" s="56" t="n">
        <x:f>B21*C21</x:f>
        <x:v>0</x:v>
      </x:c>
      <x:c r="J21" s="56" t="n">
        <x:f>MAX(0,I21-(B21*H21))</x:f>
        <x:v>0</x:v>
      </x:c>
      <x:c r="K21" s="54" t="str">
        <x:f>IF(A21="","",IF(J21&lt;='General'!$B$11,"Adequate / immaterial","Write-down required"))</x:f>
      </x:c>
      <x:c r="L21" s="53"/>
    </x:row>
    <x:row r="22">
      <x:c r="A22" s="53"/>
      <x:c r="B22" s="53"/>
      <x:c r="C22" s="55"/>
      <x:c r="D22" s="55"/>
      <x:c r="E22" s="55"/>
      <x:c r="F22" s="55"/>
      <x:c r="G22" s="56" t="n">
        <x:f>D22-E22-F22</x:f>
        <x:v>0</x:v>
      </x:c>
      <x:c r="H22" s="56" t="n">
        <x:f>MIN(C22,G22)</x:f>
        <x:v>0</x:v>
      </x:c>
      <x:c r="I22" s="56" t="n">
        <x:f>B22*C22</x:f>
        <x:v>0</x:v>
      </x:c>
      <x:c r="J22" s="56" t="n">
        <x:f>MAX(0,I22-(B22*H22))</x:f>
        <x:v>0</x:v>
      </x:c>
      <x:c r="K22" s="54" t="str">
        <x:f>IF(A22="","",IF(J22&lt;='General'!$B$11,"Adequate / immaterial","Write-down required"))</x:f>
      </x:c>
      <x:c r="L22" s="53"/>
    </x:row>
    <x:row r="23">
      <x:c r="A23" s="53"/>
      <x:c r="B23" s="53"/>
      <x:c r="C23" s="55"/>
      <x:c r="D23" s="55"/>
      <x:c r="E23" s="55"/>
      <x:c r="F23" s="55"/>
      <x:c r="G23" s="56" t="n">
        <x:f>D23-E23-F23</x:f>
        <x:v>0</x:v>
      </x:c>
      <x:c r="H23" s="56" t="n">
        <x:f>MIN(C23,G23)</x:f>
        <x:v>0</x:v>
      </x:c>
      <x:c r="I23" s="56" t="n">
        <x:f>B23*C23</x:f>
        <x:v>0</x:v>
      </x:c>
      <x:c r="J23" s="56" t="n">
        <x:f>MAX(0,I23-(B23*H23))</x:f>
        <x:v>0</x:v>
      </x:c>
      <x:c r="K23" s="54" t="str">
        <x:f>IF(A23="","",IF(J23&lt;='General'!$B$11,"Adequate / immaterial","Write-down required"))</x:f>
      </x:c>
      <x:c r="L23" s="53"/>
    </x:row>
    <x:row r="24">
      <x:c r="A24" s="53"/>
      <x:c r="B24" s="53"/>
      <x:c r="C24" s="55"/>
      <x:c r="D24" s="55"/>
      <x:c r="E24" s="55"/>
      <x:c r="F24" s="55"/>
      <x:c r="G24" s="56" t="n">
        <x:f>D24-E24-F24</x:f>
        <x:v>0</x:v>
      </x:c>
      <x:c r="H24" s="56" t="n">
        <x:f>MIN(C24,G24)</x:f>
        <x:v>0</x:v>
      </x:c>
      <x:c r="I24" s="56" t="n">
        <x:f>B24*C24</x:f>
        <x:v>0</x:v>
      </x:c>
      <x:c r="J24" s="56" t="n">
        <x:f>MAX(0,I24-(B24*H24))</x:f>
        <x:v>0</x:v>
      </x:c>
      <x:c r="K24" s="54" t="str">
        <x:f>IF(A24="","",IF(J24&lt;='General'!$B$11,"Adequate / immaterial","Write-down required"))</x:f>
      </x:c>
      <x:c r="L24" s="53"/>
    </x:row>
    <x:row r="25">
      <x:c r="A25" s="53"/>
      <x:c r="B25" s="53"/>
      <x:c r="C25" s="55"/>
      <x:c r="D25" s="55"/>
      <x:c r="E25" s="55"/>
      <x:c r="F25" s="55"/>
      <x:c r="G25" s="56" t="n">
        <x:f>D25-E25-F25</x:f>
        <x:v>0</x:v>
      </x:c>
      <x:c r="H25" s="56" t="n">
        <x:f>MIN(C25,G25)</x:f>
        <x:v>0</x:v>
      </x:c>
      <x:c r="I25" s="56" t="n">
        <x:f>B25*C25</x:f>
        <x:v>0</x:v>
      </x:c>
      <x:c r="J25" s="56" t="n">
        <x:f>MAX(0,I25-(B25*H25))</x:f>
        <x:v>0</x:v>
      </x:c>
      <x:c r="K25" s="54" t="str">
        <x:f>IF(A25="","",IF(J25&lt;='General'!$B$11,"Adequate / immaterial","Write-down required"))</x:f>
      </x:c>
      <x:c r="L25" s="53"/>
    </x:row>
    <x:row r="26">
      <x:c r="A26" s="53"/>
      <x:c r="B26" s="53"/>
      <x:c r="C26" s="55"/>
      <x:c r="D26" s="55"/>
      <x:c r="E26" s="55"/>
      <x:c r="F26" s="55"/>
      <x:c r="G26" s="56" t="n">
        <x:f>D26-E26-F26</x:f>
        <x:v>0</x:v>
      </x:c>
      <x:c r="H26" s="56" t="n">
        <x:f>MIN(C26,G26)</x:f>
        <x:v>0</x:v>
      </x:c>
      <x:c r="I26" s="56" t="n">
        <x:f>B26*C26</x:f>
        <x:v>0</x:v>
      </x:c>
      <x:c r="J26" s="56" t="n">
        <x:f>MAX(0,I26-(B26*H26))</x:f>
        <x:v>0</x:v>
      </x:c>
      <x:c r="K26" s="54" t="str">
        <x:f>IF(A26="","",IF(J26&lt;='General'!$B$11,"Adequate / immaterial","Write-down required"))</x:f>
      </x:c>
      <x:c r="L26" s="53"/>
    </x:row>
    <x:row r="27">
      <x:c r="A27" s="53"/>
      <x:c r="B27" s="53"/>
      <x:c r="C27" s="55"/>
      <x:c r="D27" s="55"/>
      <x:c r="E27" s="55"/>
      <x:c r="F27" s="55"/>
      <x:c r="G27" s="56" t="n">
        <x:f>D27-E27-F27</x:f>
        <x:v>0</x:v>
      </x:c>
      <x:c r="H27" s="56" t="n">
        <x:f>MIN(C27,G27)</x:f>
        <x:v>0</x:v>
      </x:c>
      <x:c r="I27" s="56" t="n">
        <x:f>B27*C27</x:f>
        <x:v>0</x:v>
      </x:c>
      <x:c r="J27" s="56" t="n">
        <x:f>MAX(0,I27-(B27*H27))</x:f>
        <x:v>0</x:v>
      </x:c>
      <x:c r="K27" s="54" t="str">
        <x:f>IF(A27="","",IF(J27&lt;='General'!$B$11,"Adequate / immaterial","Write-down required"))</x:f>
      </x:c>
      <x:c r="L27" s="53"/>
    </x:row>
    <x:row r="28">
      <x:c r="A28" s="53"/>
      <x:c r="B28" s="53"/>
      <x:c r="C28" s="55"/>
      <x:c r="D28" s="55"/>
      <x:c r="E28" s="55"/>
      <x:c r="F28" s="55"/>
      <x:c r="G28" s="56" t="n">
        <x:f>D28-E28-F28</x:f>
        <x:v>0</x:v>
      </x:c>
      <x:c r="H28" s="56" t="n">
        <x:f>MIN(C28,G28)</x:f>
        <x:v>0</x:v>
      </x:c>
      <x:c r="I28" s="56" t="n">
        <x:f>B28*C28</x:f>
        <x:v>0</x:v>
      </x:c>
      <x:c r="J28" s="56" t="n">
        <x:f>MAX(0,I28-(B28*H28))</x:f>
        <x:v>0</x:v>
      </x:c>
      <x:c r="K28" s="54" t="str">
        <x:f>IF(A28="","",IF(J28&lt;='General'!$B$11,"Adequate / immaterial","Write-down required"))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F-07-GL: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12" priority="1" operator="containsText" text="Exception"/>
    <x:cfRule type="containsText" dxfId="13" priority="2" operator="containsText" text="Investigate"/>
  </x:conditionalFormatting>
  <x:dataValidations count="2">
    <x:dataValidation type="list" sqref="J3">
      <x:formula1>"Not started,In progress,Prepared,Reviewed"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