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e3786f02ee45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neral" sheetId="1" r:id="R8e1418ca791f4452"/>
    <x:sheet xmlns:r="http://schemas.openxmlformats.org/officeDocument/2006/relationships" name="Tickmarks" sheetId="2" r:id="R796053c4fd1d4a4d"/>
    <x:sheet xmlns:r="http://schemas.openxmlformats.org/officeDocument/2006/relationships" name="Help" sheetId="3" r:id="Rbaa774ca80fb448e"/>
    <x:sheet xmlns:r="http://schemas.openxmlformats.org/officeDocument/2006/relationships" name="N-01 Agreement of subledger wit" sheetId="4" r:id="Ra530aa5b450a46f7"/>
    <x:sheet xmlns:r="http://schemas.openxmlformats.org/officeDocument/2006/relationships" name="N-02 Unusual item review – Trad" sheetId="5" r:id="Re2e5f0efbc05427b"/>
    <x:sheet xmlns:r="http://schemas.openxmlformats.org/officeDocument/2006/relationships" name="N-03 Trade payables cut-off" sheetId="6" r:id="Reface39e58b44b86"/>
    <x:sheet xmlns:r="http://schemas.openxmlformats.org/officeDocument/2006/relationships" name="N-04 Search for unrecorded trad" sheetId="7" r:id="Rca1a4d88c0154e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-mmm-yyyy"/>
    <x:numFmt numFmtId="201" formatCode="#,##0;[Red](#,##0);-"/>
  </x:numFmts>
  <x:fonts count="6">
    <x:font>
      <x:sz val="11"/>
      <x:name val="Carlito"/>
    </x:font>
    <x:font>
      <x:sz val="10"/>
      <x:color rgb="FF222222"/>
      <x:name val="Arial"/>
    </x:font>
    <x:font>
      <x:b/>
      <x:sz val="12"/>
      <x:color rgb="FF000000"/>
      <x:name val="Arial"/>
    </x:font>
    <x:font>
      <x:b/>
      <x:sz val="10"/>
      <x:color rgb="FF000000"/>
      <x:name val="Arial"/>
    </x:font>
    <x:font>
      <x:b/>
      <x:sz val="10"/>
      <x:color rgb="FFC00000"/>
      <x:name val="Arial"/>
    </x:font>
    <x:font>
      <x:b/>
      <x:sz val="10"/>
      <x:color rgb="FF222222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DAE9F8"/>
      </x:patternFill>
    </x:fill>
    <x:fill>
      <x:patternFill patternType="solid">
        <x:fgColor rgb="FFFFFFFF"/>
      </x:patternFill>
    </x:fill>
    <x:fill>
      <x:patternFill patternType="solid">
        <x:fgColor rgb="FFE7E6E6"/>
      </x:patternFill>
    </x:fill>
  </x:fills>
  <x:borders count="14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</x:borders>
  <x:cellStyleXfs count="1">
    <x:xf numFmtId="0" fontId="0" fillId="0" borderId="0"/>
  </x:cellStyleXfs>
  <x:cellXfs count="6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200" fontId="1" fillId="3" borderId="1" xfId="0" applyNumberFormat="1" applyFont="1" applyFill="1" applyBorder="1"/>
    <x:xf numFmtId="201" fontId="1" fillId="3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1" fillId="0" borderId="10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0" fontId="1" fillId="0" borderId="1" xfId="0" applyNumberFormat="1" applyFont="1" applyFill="1" applyBorder="1" applyAlignment="1">
      <x:alignment vertical="top" wrapText="1"/>
    </x:xf>
    <x:xf numFmtId="201" fontId="1" fillId="3" borderId="0" xfId="0" applyNumberFormat="1" applyFont="1" applyFill="1" applyBorder="1"/>
    <x:xf numFmtId="0" fontId="3" fillId="2" borderId="2" xfId="0" applyNumberFormat="1" applyFont="1" applyFill="1" applyBorder="1" applyAlignment="1">
      <x:alignment vertical="center" wrapText="1"/>
    </x:xf>
    <x:xf numFmtId="0" fontId="1" fillId="3" borderId="2" xfId="0" applyNumberFormat="1" applyFont="1" applyFill="1" applyBorder="1"/>
    <x:xf numFmtId="201" fontId="1" fillId="3" borderId="2" xfId="0" applyNumberFormat="1" applyFont="1" applyFill="1" applyBorder="1"/>
    <x:xf numFmtId="201" fontId="1" fillId="4" borderId="2" xfId="0" applyNumberFormat="1" applyFont="1" applyFill="1" applyBorder="1"/>
    <x:xf numFmtId="0" fontId="1" fillId="4" borderId="2" xfId="0" applyNumberFormat="1" applyFont="1" applyFill="1" applyBorder="1"/>
    <x:xf numFmtId="0" fontId="1" fillId="3" borderId="2" xfId="0" applyNumberFormat="1" applyFont="1" applyFill="1" applyBorder="1" applyAlignment="1">
      <x:alignment wrapText="1"/>
    </x:xf>
    <x:xf numFmtId="201" fontId="1" fillId="3" borderId="2" xfId="0" applyNumberFormat="1" applyFont="1" applyFill="1" applyBorder="1" applyAlignment="1">
      <x:alignment wrapText="1"/>
    </x:xf>
    <x:xf numFmtId="201" fontId="1" fillId="4" borderId="2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11" xfId="0" applyNumberFormat="1" applyFont="1" applyFill="1" applyBorder="1"/>
    <x:xf numFmtId="0" fontId="5" fillId="3" borderId="12" xfId="0" applyNumberFormat="1" applyFont="1" applyFill="1" applyBorder="1"/>
    <x:xf numFmtId="0" fontId="5" fillId="3" borderId="13" xfId="0" applyNumberFormat="1" applyFont="1" applyFill="1" applyBorder="1"/>
    <x:xf numFmtId="0" fontId="5" fillId="3" borderId="11" xfId="0" applyNumberFormat="1" applyFont="1" applyFill="1" applyBorder="1" applyAlignment="1">
      <x:alignment wrapText="1"/>
    </x:xf>
    <x:xf numFmtId="0" fontId="5" fillId="3" borderId="12" xfId="0" applyNumberFormat="1" applyFont="1" applyFill="1" applyBorder="1" applyAlignment="1">
      <x:alignment wrapText="1"/>
    </x:xf>
    <x:xf numFmtId="0" fontId="5" fillId="3" borderId="13" xfId="0" applyNumberFormat="1" applyFont="1" applyFill="1" applyBorder="1" applyAlignment="1">
      <x:alignment wrapText="1"/>
    </x:xf>
    <x:xf numFmtId="200" fontId="1" fillId="3" borderId="0" xfId="0" applyNumberFormat="1" applyFont="1" applyFill="1" applyBorder="1"/>
    <x:xf numFmtId="200" fontId="1" fillId="3" borderId="2" xfId="0" applyNumberFormat="1" applyFont="1" applyFill="1" applyBorder="1"/>
    <x:xf numFmtId="200" fontId="1" fillId="3" borderId="2" xfId="0" applyNumberFormat="1" applyFont="1" applyFill="1" applyBorder="1" applyAlignment="1">
      <x:alignment wrapText="1"/>
    </x:xf>
  </x:cellXfs>
  <x:cellStyles count="1">
    <x:cellStyle name="Normal" xfId="0"/>
  </x:cellStyles>
  <x:dxfs count="8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48df9972f74e8f" /><Relationship Type="http://schemas.openxmlformats.org/officeDocument/2006/relationships/theme" Target="/xl/theme/theme1.xml" Id="R47d722d9f44c408c" /><Relationship Type="http://schemas.openxmlformats.org/officeDocument/2006/relationships/sharedStrings" Target="/xl/sharedStrings.xml" Id="Rf6ee734fd63b458f" /><Relationship Type="http://schemas.openxmlformats.org/officeDocument/2006/relationships/worksheet" Target="/xl/worksheets/sheet1.xml" Id="R8e1418ca791f4452" /><Relationship Type="http://schemas.openxmlformats.org/officeDocument/2006/relationships/worksheet" Target="/xl/worksheets/sheet2.xml" Id="R796053c4fd1d4a4d" /><Relationship Type="http://schemas.openxmlformats.org/officeDocument/2006/relationships/worksheet" Target="/xl/worksheets/sheet3.xml" Id="Rbaa774ca80fb448e" /><Relationship Type="http://schemas.openxmlformats.org/officeDocument/2006/relationships/worksheet" Target="/xl/worksheets/sheet4.xml" Id="Ra530aa5b450a46f7" /><Relationship Type="http://schemas.openxmlformats.org/officeDocument/2006/relationships/worksheet" Target="/xl/worksheets/sheet5.xml" Id="Re2e5f0efbc05427b" /><Relationship Type="http://schemas.openxmlformats.org/officeDocument/2006/relationships/worksheet" Target="/xl/worksheets/sheet6.xml" Id="Reface39e58b44b86" /><Relationship Type="http://schemas.openxmlformats.org/officeDocument/2006/relationships/worksheet" Target="/xl/worksheets/sheet7.xml" Id="Rca1a4d88c0154e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3" hidden="0" customWidth="1"/>
    <x:col min="4" max="4" width="12" hidden="0" customWidth="1"/>
    <x:col min="5" max="5" width="30" hidden="0" customWidth="1"/>
    <x:col min="6" max="6" width="24" hidden="0" customWidth="1"/>
    <x:col min="7" max="7" width="44" hidden="0" customWidth="1"/>
  </x:cols>
  <x:sheetData>
    <x:row r="1" ht="24" customHeight="1">
      <x:c r="A1" s="3" t="str">
        <x:v>N - Trade Payables | General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7" t="str">
        <x:v>Entity name</x:v>
      </x:c>
      <x:c r="B3" s="9" t="str">
        <x:v>[Enter entity name]</x:v>
      </x:c>
      <x:c r="C3" s="1"/>
      <x:c r="D3" s="7" t="str">
        <x:v>PSP index</x:v>
      </x:c>
      <x:c r="E3" s="7"/>
      <x:c r="F3" s="7"/>
      <x:c r="G3" s="7"/>
      <x:c r="H3" s="7"/>
      <x:c r="I3" s="7"/>
      <x:c r="J3" s="7"/>
    </x:row>
    <x:row r="4">
      <x:c r="A4" s="7" t="str">
        <x:v>Period end</x:v>
      </x:c>
      <x:c r="B4" s="10"/>
      <x:c r="C4" s="1"/>
      <x:c r="D4" s="13" t="str">
        <x:v>N-01-GL</x:v>
      </x:c>
      <x:c r="E4" s="13" t="str">
        <x:v>Agreement of subledger with general ledger – Trade payables</x:v>
      </x:c>
      <x:c r="F4" s="13" t="str">
        <x:v>Existence and completeness</x:v>
      </x:c>
      <x:c r="G4" s="13" t="str">
        <x:v>Reconcile the year-end supplier subledger and aged listing to the general-ledger control account, trial balance and financial statements; identify debit balances and material or unusual reconciling items.</x:v>
      </x:c>
      <x:c r="H4" s="13"/>
      <x:c r="I4" s="13"/>
      <x:c r="J4" s="13"/>
    </x:row>
    <x:row r="5">
      <x:c r="A5" s="7" t="str">
        <x:v>Currency</x:v>
      </x:c>
      <x:c r="B5" s="9" t="str">
        <x:v>GBP</x:v>
      </x:c>
      <x:c r="C5" s="1"/>
      <x:c r="D5" s="13" t="str">
        <x:v>N-02-GL</x:v>
      </x:c>
      <x:c r="E5" s="13" t="str">
        <x:v>Unusual item review – Trade payables</x:v>
      </x:c>
      <x:c r="F5" s="13" t="str">
        <x:v>Existence, valuation, completeness, rights and obligations, presentation</x:v>
      </x:c>
      <x:c r="G5" s="13" t="str">
        <x:v>Identify and resolve significant, unusual, debit, dormant, related-party or non-standard items in trade payables.</x:v>
      </x:c>
      <x:c r="H5" s="13"/>
      <x:c r="I5" s="13"/>
      <x:c r="J5" s="13"/>
    </x:row>
    <x:row r="6">
      <x:c r="A6" s="7" t="str">
        <x:v>Prepared by</x:v>
      </x:c>
      <x:c r="B6" s="9" t="str">
        <x:v>[Name / date]</x:v>
      </x:c>
      <x:c r="C6" s="1"/>
      <x:c r="D6" s="13" t="str">
        <x:v>N-03-GL</x:v>
      </x:c>
      <x:c r="E6" s="13" t="str">
        <x:v>Trade payables cut-off</x:v>
      </x:c>
      <x:c r="F6" s="13" t="str">
        <x:v>Existence, completeness, rights and obligations</x:v>
      </x:c>
      <x:c r="G6" s="13" t="str">
        <x:v>Determine whether purchases, receipts, returns and related liabilities around period end are recorded in the correct accounting period.</x:v>
      </x:c>
      <x:c r="H6" s="13"/>
      <x:c r="I6" s="13"/>
      <x:c r="J6" s="13"/>
    </x:row>
    <x:row r="7">
      <x:c r="A7" s="7" t="str">
        <x:v>Reviewed by</x:v>
      </x:c>
      <x:c r="B7" s="9" t="str">
        <x:v>[Name / date]</x:v>
      </x:c>
      <x:c r="C7" s="1"/>
      <x:c r="D7" s="13" t="str">
        <x:v>N-04-GL</x:v>
      </x:c>
      <x:c r="E7" s="13" t="str">
        <x:v>Search for unrecorded trade payables</x:v>
      </x:c>
      <x:c r="F7" s="13" t="str">
        <x:v>Valuation and completeness</x:v>
      </x:c>
      <x:c r="G7" s="13" t="str">
        <x:v>Obtain evidence that liabilities for goods and services received by period end are completely recorded.</x:v>
      </x:c>
      <x:c r="H7" s="13"/>
      <x:c r="I7" s="13"/>
      <x:c r="J7" s="13"/>
    </x:row>
    <x:row r="8">
      <x:c r="A8" s="7" t="str">
        <x:v>Working paper reference</x:v>
      </x:c>
      <x:c r="B8" s="9" t="str">
        <x:v>N</x:v>
      </x:c>
      <x:c r="C8" s="1"/>
      <x:c r="D8" s="1"/>
      <x:c r="E8" s="1"/>
      <x:c r="F8" s="1"/>
      <x:c r="G8" s="1"/>
      <x:c r="H8" s="1"/>
      <x:c r="I8" s="1"/>
      <x:c r="J8" s="1"/>
    </x:row>
    <x:row r="9">
      <x:c r="A9" s="7" t="str">
        <x:v>Planning materiality</x:v>
      </x:c>
      <x:c r="B9" s="11"/>
      <x:c r="C9" s="1"/>
      <x:c r="D9" s="1"/>
      <x:c r="E9" s="1"/>
      <x:c r="F9" s="1"/>
      <x:c r="G9" s="1"/>
      <x:c r="H9" s="1"/>
      <x:c r="I9" s="1"/>
      <x:c r="J9" s="1"/>
    </x:row>
    <x:row r="10">
      <x:c r="A10" s="7" t="str">
        <x:v>Tolerable error</x:v>
      </x:c>
      <x:c r="B10" s="11"/>
      <x:c r="C10" s="1"/>
      <x:c r="D10" s="1"/>
      <x:c r="E10" s="1"/>
      <x:c r="F10" s="1"/>
      <x:c r="G10" s="1"/>
      <x:c r="H10" s="1"/>
      <x:c r="I10" s="1"/>
      <x:c r="J10" s="1"/>
    </x:row>
    <x:row r="11">
      <x:c r="A11" s="7" t="str">
        <x:v>SAD nominal amount</x:v>
      </x:c>
      <x:c r="B11" s="11"/>
      <x:c r="C11" s="1"/>
      <x:c r="D11" s="1"/>
      <x:c r="E11" s="1"/>
      <x:c r="F11" s="1"/>
      <x:c r="G11" s="1"/>
      <x:c r="H11" s="1"/>
      <x:c r="I11" s="1"/>
      <x:c r="J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</x:row>
  </x:sheetData>
  <x:mergeCells>
    <x:mergeCell ref="A1:J1"/>
    <x:mergeCell ref="D3:J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42" hidden="0" customWidth="1"/>
    <x:col min="3" max="3" width="42" hidden="0" customWidth="1"/>
    <x:col min="4" max="4" width="18" hidden="0" customWidth="1"/>
    <x:col min="5" max="5" width="18" hidden="0" customWidth="1"/>
    <x:col min="6" max="6" width="30" hidden="0" customWidth="1"/>
  </x:cols>
  <x:sheetData>
    <x:row r="1" ht="24" customHeight="1">
      <x:c r="A1" s="3" t="str">
        <x:v>N - Trade Payables | Tickmarks</x:v>
      </x:c>
      <x:c r="B1" s="3"/>
      <x:c r="C1" s="3"/>
      <x:c r="D1" s="3"/>
      <x:c r="E1" s="3"/>
      <x:c r="F1" s="3"/>
    </x:row>
    <x:row r="2">
      <x:c r="A2" s="1"/>
      <x:c r="B2" s="1"/>
      <x:c r="C2" s="1"/>
      <x:c r="D2" s="1"/>
      <x:c r="E2" s="1"/>
      <x:c r="F2" s="1"/>
    </x:row>
    <x:row r="3">
      <x:c r="A3" s="7" t="str">
        <x:v>Code</x:v>
      </x:c>
      <x:c r="B3" s="7" t="str">
        <x:v>Description</x:v>
      </x:c>
      <x:c r="C3" s="7" t="str">
        <x:v>Typical evidence/use</x:v>
      </x:c>
      <x:c r="D3" s="7" t="str">
        <x:v>Category</x:v>
      </x:c>
      <x:c r="E3" s="7" t="str">
        <x:v>Attribution required</x:v>
      </x:c>
      <x:c r="F3" s="7" t="str">
        <x:v>Notes</x:v>
      </x:c>
    </x:row>
    <x:row r="4">
      <x:c r="A4" s="16" t="str">
        <x:v>TB</x:v>
      </x:c>
      <x:c r="B4" s="15" t="str">
        <x:v>Agreed to trial balance</x:v>
      </x:c>
      <x:c r="C4" s="15" t="str">
        <x:v>Final trial balance</x:v>
      </x:c>
      <x:c r="D4" s="15" t="str">
        <x:v>Audit evidence</x:v>
      </x:c>
      <x:c r="E4" s="15" t="str">
        <x:v>Yes</x:v>
      </x:c>
      <x:c r="F4" s="15" t="str"/>
    </x:row>
    <x:row r="5">
      <x:c r="A5" s="16" t="str">
        <x:v>GL</x:v>
      </x:c>
      <x:c r="B5" s="15" t="str">
        <x:v>Agreed to general ledger</x:v>
      </x:c>
      <x:c r="C5" s="15" t="str">
        <x:v>General ledger/control account</x:v>
      </x:c>
      <x:c r="D5" s="15" t="str">
        <x:v>Audit evidence</x:v>
      </x:c>
      <x:c r="E5" s="15" t="str">
        <x:v>Yes</x:v>
      </x:c>
      <x:c r="F5" s="15" t="str"/>
    </x:row>
    <x:row r="6">
      <x:c r="A6" s="16" t="str">
        <x:v>SL</x:v>
      </x:c>
      <x:c r="B6" s="15" t="str">
        <x:v>Agreed to subledger</x:v>
      </x:c>
      <x:c r="C6" s="15" t="str">
        <x:v>Relevant subledger; specify source</x:v>
      </x:c>
      <x:c r="D6" s="15" t="str">
        <x:v>Audit evidence</x:v>
      </x:c>
      <x:c r="E6" s="15" t="str">
        <x:v>Yes</x:v>
      </x:c>
      <x:c r="F6" s="15" t="str"/>
    </x:row>
    <x:row r="7">
      <x:c r="A7" s="16" t="str">
        <x:v>PY</x:v>
      </x:c>
      <x:c r="B7" s="15" t="str">
        <x:v>Agreed to prior-year audited financial statements/working papers</x:v>
      </x:c>
      <x:c r="C7" s="15" t="str">
        <x:v>Prior-year signed accounts or archive</x:v>
      </x:c>
      <x:c r="D7" s="15" t="str">
        <x:v>Audit evidence</x:v>
      </x:c>
      <x:c r="E7" s="15" t="str">
        <x:v>Yes</x:v>
      </x:c>
      <x:c r="F7" s="15" t="str"/>
    </x:row>
    <x:row r="8">
      <x:c r="A8" s="16" t="str">
        <x:v>FS</x:v>
      </x:c>
      <x:c r="B8" s="15" t="str">
        <x:v>Agreed to current-year financial statements</x:v>
      </x:c>
      <x:c r="C8" s="15" t="str">
        <x:v>Final financial statements</x:v>
      </x:c>
      <x:c r="D8" s="15" t="str">
        <x:v>Audit evidence</x:v>
      </x:c>
      <x:c r="E8" s="15" t="str">
        <x:v>Yes</x:v>
      </x:c>
      <x:c r="F8" s="15" t="str"/>
    </x:row>
    <x:row r="9">
      <x:c r="A9" s="16" t="str">
        <x:v>m</x:v>
      </x:c>
      <x:c r="B9" s="15" t="str">
        <x:v>Movement or amount below testing scope</x:v>
      </x:c>
      <x:c r="C9" s="15" t="str">
        <x:v>Compare with documented scope/SAD</x:v>
      </x:c>
      <x:c r="D9" s="15" t="str">
        <x:v>Audit evidence</x:v>
      </x:c>
      <x:c r="E9" s="15" t="str">
        <x:v>Yes</x:v>
      </x:c>
      <x:c r="F9" s="15" t="str"/>
    </x:row>
    <x:row r="10">
      <x:c r="A10" s="16" t="str">
        <x:v>@</x:v>
      </x:c>
      <x:c r="B10" s="15" t="str">
        <x:v>Correctly calculated</x:v>
      </x:c>
      <x:c r="C10" s="15" t="str">
        <x:v>Independent recalculation</x:v>
      </x:c>
      <x:c r="D10" s="15" t="str">
        <x:v>Audit evidence</x:v>
      </x:c>
      <x:c r="E10" s="15" t="str">
        <x:v>Yes</x:v>
      </x:c>
      <x:c r="F10" s="15" t="str"/>
    </x:row>
    <x:row r="11">
      <x:c r="A11" s="16" t="str">
        <x:v>^</x:v>
      </x:c>
      <x:c r="B11" s="15" t="str">
        <x:v>Footed correctly</x:v>
      </x:c>
      <x:c r="C11" s="15" t="str">
        <x:v>Column total checked</x:v>
      </x:c>
      <x:c r="D11" s="15" t="str">
        <x:v>Audit evidence</x:v>
      </x:c>
      <x:c r="E11" s="15" t="str">
        <x:v>Yes</x:v>
      </x:c>
      <x:c r="F11" s="15" t="str"/>
    </x:row>
    <x:row r="12">
      <x:c r="A12" s="16" t="str">
        <x:v>&lt;</x:v>
      </x:c>
      <x:c r="B12" s="15" t="str">
        <x:v>Cross-footed correctly</x:v>
      </x:c>
      <x:c r="C12" s="15" t="str">
        <x:v>Row total checked</x:v>
      </x:c>
      <x:c r="D12" s="15" t="str">
        <x:v>Audit evidence</x:v>
      </x:c>
      <x:c r="E12" s="15" t="str">
        <x:v>Yes</x:v>
      </x:c>
      <x:c r="F12" s="15" t="str"/>
    </x:row>
    <x:row r="13">
      <x:c r="A13" s="16" t="str">
        <x:v>√1</x:v>
      </x:c>
      <x:c r="B13" s="15" t="str">
        <x:v>Agreed to supporting documentation – type 1</x:v>
      </x:c>
      <x:c r="C13" s="15" t="str">
        <x:v>Identify document in evidence reference</x:v>
      </x:c>
      <x:c r="D13" s="15" t="str">
        <x:v>Audit evidence</x:v>
      </x:c>
      <x:c r="E13" s="15" t="str">
        <x:v>Yes</x:v>
      </x:c>
      <x:c r="F13" s="15" t="str"/>
    </x:row>
    <x:row r="14">
      <x:c r="A14" s="16" t="str">
        <x:v>√2</x:v>
      </x:c>
      <x:c r="B14" s="15" t="str">
        <x:v>Agreed to supporting documentation – type 2</x:v>
      </x:c>
      <x:c r="C14" s="15" t="str">
        <x:v>Identify document in evidence reference</x:v>
      </x:c>
      <x:c r="D14" s="15" t="str">
        <x:v>Audit evidence</x:v>
      </x:c>
      <x:c r="E14" s="15" t="str">
        <x:v>Yes</x:v>
      </x:c>
      <x:c r="F14" s="15" t="str"/>
    </x:row>
    <x:row r="15">
      <x:c r="A15" s="16" t="str">
        <x:v>√3</x:v>
      </x:c>
      <x:c r="B15" s="15" t="str">
        <x:v>Agreed to supporting documentation – type 3</x:v>
      </x:c>
      <x:c r="C15" s="15" t="str">
        <x:v>Identify document in evidence reference</x:v>
      </x:c>
      <x:c r="D15" s="15" t="str">
        <x:v>Audit evidence</x:v>
      </x:c>
      <x:c r="E15" s="15" t="str">
        <x:v>Yes</x:v>
      </x:c>
      <x:c r="F15" s="15" t="str"/>
    </x:row>
    <x:row r="16">
      <x:c r="A16" s="16" t="str">
        <x:v>N/A</x:v>
      </x:c>
      <x:c r="B16" s="15" t="str">
        <x:v>Not applicable</x:v>
      </x:c>
      <x:c r="C16" s="15" t="str">
        <x:v>Explain why</x:v>
      </x:c>
      <x:c r="D16" s="15" t="str">
        <x:v>Audit evidence</x:v>
      </x:c>
      <x:c r="E16" s="15" t="str">
        <x:v>Yes</x:v>
      </x:c>
      <x:c r="F16" s="15" t="str"/>
    </x:row>
    <x:row r="17">
      <x:c r="A17" s="16" t="str">
        <x:v>F</x:v>
      </x:c>
      <x:c r="B17" s="15" t="str">
        <x:v>Footed</x:v>
      </x:c>
      <x:c r="C17" s="15" t="str">
        <x:v>Schedule arithmetic checked</x:v>
      </x:c>
      <x:c r="D17" s="15" t="str">
        <x:v>Audit evidence</x:v>
      </x:c>
      <x:c r="E17" s="15" t="str">
        <x:v>Yes</x:v>
      </x:c>
      <x:c r="F17" s="15" t="str"/>
    </x:row>
    <x:row r="18">
      <x:c r="A18" s="16" t="str">
        <x:v>CF</x:v>
      </x:c>
      <x:c r="B18" s="15" t="str">
        <x:v>Cross-footed</x:v>
      </x:c>
      <x:c r="C18" s="15" t="str">
        <x:v>Schedule cross-casting checked</x:v>
      </x:c>
      <x:c r="D18" s="15" t="str">
        <x:v>Audit evidence</x:v>
      </x:c>
      <x:c r="E18" s="15" t="str">
        <x:v>Yes</x:v>
      </x:c>
      <x:c r="F18" s="15" t="str"/>
    </x:row>
    <x:row r="19">
      <x:c r="A19" s="16" t="str">
        <x:v>C</x:v>
      </x:c>
      <x:c r="B19" s="15" t="str">
        <x:v>Calculation checked and agreed</x:v>
      </x:c>
      <x:c r="C19" s="15" t="str">
        <x:v>Independent cast/recalculation</x:v>
      </x:c>
      <x:c r="D19" s="15" t="str">
        <x:v>Audit evidence</x:v>
      </x:c>
      <x:c r="E19" s="15" t="str">
        <x:v>Yes</x:v>
      </x:c>
      <x:c r="F19" s="15" t="str"/>
    </x:row>
    <x:row r="20">
      <x:c r="A20" s="16" t="str">
        <x:v>R</x:v>
      </x:c>
      <x:c r="B20" s="15" t="str">
        <x:v>Agreed to report</x:v>
      </x:c>
      <x:c r="C20" s="15" t="str">
        <x:v>Supporting report/system output</x:v>
      </x:c>
      <x:c r="D20" s="15" t="str">
        <x:v>Audit evidence</x:v>
      </x:c>
      <x:c r="E20" s="15" t="str">
        <x:v>Yes</x:v>
      </x:c>
      <x:c r="F20" s="15" t="str"/>
    </x:row>
    <x:row r="21">
      <x:c r="A21" s="16" t="str">
        <x:v>CONF</x:v>
      </x:c>
      <x:c r="B21" s="15" t="str">
        <x:v>Agreed to confirmation</x:v>
      </x:c>
      <x:c r="C21" s="15" t="str">
        <x:v>External confirmation controlled by auditor</x:v>
      </x:c>
      <x:c r="D21" s="15" t="str">
        <x:v>Audit evidence</x:v>
      </x:c>
      <x:c r="E21" s="15" t="str">
        <x:v>Yes</x:v>
      </x:c>
      <x:c r="F21" s="15" t="str"/>
    </x:row>
    <x:row r="22">
      <x:c r="A22" s="1"/>
      <x:c r="B22" s="1"/>
      <x:c r="C22" s="1"/>
      <x:c r="D22" s="1"/>
      <x:c r="E22" s="1"/>
      <x:c r="F22" s="1"/>
    </x:row>
    <x:row r="23">
      <x:c r="A23" s="1"/>
      <x:c r="B23" s="1"/>
      <x:c r="C23" s="1"/>
      <x:c r="D23" s="1"/>
      <x:c r="E23" s="1"/>
      <x:c r="F23" s="1"/>
    </x:row>
    <x:row r="24">
      <x:c r="A24" s="1"/>
      <x:c r="B24" s="1"/>
      <x:c r="C24" s="1"/>
      <x:c r="D24" s="1"/>
      <x:c r="E24" s="1"/>
      <x:c r="F24" s="1"/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3" t="str">
        <x:v>N - Trade Payables | Help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7" t="str">
        <x:v>How to use this workbook</x:v>
      </x:c>
      <x:c r="B3" s="7"/>
      <x:c r="C3" s="7"/>
      <x:c r="D3" s="7"/>
      <x:c r="E3" s="7"/>
      <x:c r="F3" s="7"/>
      <x:c r="G3" s="7"/>
      <x:c r="H3" s="7"/>
      <x:c r="I3" s="7"/>
      <x:c r="J3" s="7"/>
    </x:row>
    <x:row r="4">
      <x:c r="A4" s="34" t="str">
        <x:v>Complete General once. Tailor each PSP to the engagement’s assessed risks. Enter evidence only in white cells; light-grey cells are formula-controlled. Select tickmarks from the dropdown, cross-reference evidence, resolve exceptions, quantify misstatements against SAD/tolerable error, and complete the conclusion and review status.</x:v>
      </x:c>
      <x:c r="B4" s="35"/>
      <x:c r="C4" s="35"/>
      <x:c r="D4" s="35"/>
      <x:c r="E4" s="35"/>
      <x:c r="F4" s="35"/>
      <x:c r="G4" s="35"/>
      <x:c r="H4" s="35"/>
      <x:c r="I4" s="35"/>
      <x:c r="J4" s="36"/>
    </x:row>
    <x:row r="5">
      <x:c r="A5" s="37"/>
      <x:c r="B5" s="38"/>
      <x:c r="C5" s="38"/>
      <x:c r="D5" s="38"/>
      <x:c r="E5" s="38"/>
      <x:c r="F5" s="38"/>
      <x:c r="G5" s="38"/>
      <x:c r="H5" s="38"/>
      <x:c r="I5" s="38"/>
      <x:c r="J5" s="39"/>
    </x:row>
    <x:row r="6">
      <x:c r="A6" s="37"/>
      <x:c r="B6" s="38"/>
      <x:c r="C6" s="38"/>
      <x:c r="D6" s="38"/>
      <x:c r="E6" s="38"/>
      <x:c r="F6" s="38"/>
      <x:c r="G6" s="38"/>
      <x:c r="H6" s="38"/>
      <x:c r="I6" s="38"/>
      <x:c r="J6" s="39"/>
    </x:row>
    <x:row r="7">
      <x:c r="A7" s="37"/>
      <x:c r="B7" s="38"/>
      <x:c r="C7" s="38"/>
      <x:c r="D7" s="38"/>
      <x:c r="E7" s="38"/>
      <x:c r="F7" s="38"/>
      <x:c r="G7" s="38"/>
      <x:c r="H7" s="38"/>
      <x:c r="I7" s="38"/>
      <x:c r="J7" s="39"/>
    </x:row>
    <x:row r="8">
      <x:c r="A8" s="40"/>
      <x:c r="B8" s="41"/>
      <x:c r="C8" s="41"/>
      <x:c r="D8" s="41"/>
      <x:c r="E8" s="41"/>
      <x:c r="F8" s="41"/>
      <x:c r="G8" s="41"/>
      <x:c r="H8" s="41"/>
      <x:c r="I8" s="41"/>
      <x:c r="J8" s="42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</x:row>
    <x:row r="10">
      <x:c r="A10" s="7" t="str">
        <x:v>Source basis</x:v>
      </x:c>
      <x:c r="B10" s="7"/>
      <x:c r="C10" s="7"/>
      <x:c r="D10" s="7"/>
      <x:c r="E10" s="7"/>
      <x:c r="F10" s="7"/>
      <x:c r="G10" s="7"/>
      <x:c r="H10" s="7"/>
      <x:c r="I10" s="7"/>
      <x:c r="J10" s="7"/>
    </x:row>
    <x:row r="11">
      <x:c r="A11" s="34" t="str">
        <x:v>Cycle objectives and execution guidance were developed from PAA1_Slides Fournisseurs [French PSPs]_revu CAP 06.09.13.pptx. The source presentation is reference material, not an instruction to the user; this workbook remains a template and must be tailored to the applicable reporting framework, engagement risks and approved audit methodology.</x:v>
      </x:c>
      <x:c r="B11" s="35"/>
      <x:c r="C11" s="35"/>
      <x:c r="D11" s="35"/>
      <x:c r="E11" s="35"/>
      <x:c r="F11" s="35"/>
      <x:c r="G11" s="35"/>
      <x:c r="H11" s="35"/>
      <x:c r="I11" s="35"/>
      <x:c r="J11" s="36"/>
    </x:row>
    <x:row r="12">
      <x:c r="A12" s="37"/>
      <x:c r="B12" s="38"/>
      <x:c r="C12" s="38"/>
      <x:c r="D12" s="38"/>
      <x:c r="E12" s="38"/>
      <x:c r="F12" s="38"/>
      <x:c r="G12" s="38"/>
      <x:c r="H12" s="38"/>
      <x:c r="I12" s="38"/>
      <x:c r="J12" s="39"/>
    </x:row>
    <x:row r="13">
      <x:c r="A13" s="37"/>
      <x:c r="B13" s="38"/>
      <x:c r="C13" s="38"/>
      <x:c r="D13" s="38"/>
      <x:c r="E13" s="38"/>
      <x:c r="F13" s="38"/>
      <x:c r="G13" s="38"/>
      <x:c r="H13" s="38"/>
      <x:c r="I13" s="38"/>
      <x:c r="J13" s="39"/>
    </x:row>
    <x:row r="14">
      <x:c r="A14" s="37"/>
      <x:c r="B14" s="38"/>
      <x:c r="C14" s="38"/>
      <x:c r="D14" s="38"/>
      <x:c r="E14" s="38"/>
      <x:c r="F14" s="38"/>
      <x:c r="G14" s="38"/>
      <x:c r="H14" s="38"/>
      <x:c r="I14" s="38"/>
      <x:c r="J14" s="39"/>
    </x:row>
    <x:row r="15">
      <x:c r="A15" s="40"/>
      <x:c r="B15" s="41"/>
      <x:c r="C15" s="41"/>
      <x:c r="D15" s="41"/>
      <x:c r="E15" s="41"/>
      <x:c r="F15" s="41"/>
      <x:c r="G15" s="41"/>
      <x:c r="H15" s="41"/>
      <x:c r="I15" s="41"/>
      <x:c r="J15" s="42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</x:row>
  </x:sheetData>
  <x:mergeCells>
    <x:mergeCell ref="A1:J1"/>
    <x:mergeCell ref="A3:J3"/>
    <x:mergeCell ref="A4:J8"/>
    <x:mergeCell ref="A10:J10"/>
    <x:mergeCell ref="A11:J1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2" hidden="0" customWidth="1"/>
    <x:col min="9" max="9" width="22" hidden="0" customWidth="1"/>
    <x:col min="10" max="10" width="14" hidden="0" customWidth="1"/>
    <x:col min="11" max="11" width="12" hidden="0" customWidth="1"/>
    <x:col min="12" max="12" width="12" hidden="0" customWidth="1"/>
  </x:cols>
  <x:sheetData>
    <x:row r="1" ht="24" customHeight="1">
      <x:c r="A1" s="3" t="str">
        <x:v>N - Trade Payables | N-01-GL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1" t="str">
        <x:v>Entity</x:v>
      </x:c>
      <x:c r="B2" s="43" t="str">
        <x:f>'General'!B3</x:f>
        <x:v>[Enter entity name]</x:v>
      </x:c>
      <x:c r="C2" s="43" t="str">
        <x:v>Period end</x:v>
      </x:c>
      <x:c r="D2" s="44" t="str">
        <x:f>IF('General'!B4="","",'General'!B4)</x:f>
      </x:c>
      <x:c r="E2" s="43" t="str">
        <x:v>Currency</x:v>
      </x:c>
      <x:c r="F2" s="43" t="str">
        <x:f>'General'!B5</x:f>
        <x:v>GBP</x:v>
      </x:c>
      <x:c r="G2" s="43" t="str">
        <x:v>Prepared by</x:v>
      </x:c>
      <x:c r="H2" s="43" t="str">
        <x:f>'General'!B6</x:f>
        <x:v>[Name / date]</x:v>
      </x:c>
      <x:c r="I2" s="43" t="str">
        <x:v>Reviewed by</x:v>
      </x:c>
      <x:c r="J2" s="43" t="str">
        <x:f>'General'!B7</x:f>
        <x:v>[Name / date]</x:v>
      </x:c>
      <x:c r="K2" s="1"/>
      <x:c r="L2" s="1"/>
    </x:row>
    <x:row r="3">
      <x:c r="A3" s="1" t="str">
        <x:v>WP reference</x:v>
      </x:c>
      <x:c r="B3" s="43" t="str">
        <x:v>N-01-GL</x:v>
      </x:c>
      <x:c r="C3" s="43" t="str">
        <x:v>Planning mat.</x:v>
      </x:c>
      <x:c r="D3" s="45" t="n">
        <x:f>'General'!B9</x:f>
        <x:v>0</x:v>
      </x:c>
      <x:c r="E3" s="45" t="str">
        <x:v>Tolerable error</x:v>
      </x:c>
      <x:c r="F3" s="45" t="n">
        <x:f>'General'!B10</x:f>
        <x:v>0</x:v>
      </x:c>
      <x:c r="G3" s="45" t="str">
        <x:v>SAD nominal</x:v>
      </x:c>
      <x:c r="H3" s="45" t="n">
        <x:f>'General'!B11</x:f>
        <x:v>0</x:v>
      </x:c>
      <x:c r="I3" s="43" t="str">
        <x:v>Status</x:v>
      </x:c>
      <x:c r="J3" s="8" t="str">
        <x:v>Not started</x:v>
      </x:c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44" customHeight="1">
      <x:c r="A5" s="46" t="str">
        <x:v>Objective (Existence and completeness): Reconcile the year-end supplier subledger and aged listing to the general-ledger control account, trial balance and financial statements; identify debit balances and material or unusual reconciling items.</x:v>
      </x:c>
      <x:c r="B5" s="46"/>
      <x:c r="C5" s="46"/>
      <x:c r="D5" s="46"/>
      <x:c r="E5" s="46"/>
      <x:c r="F5" s="46"/>
      <x:c r="G5" s="46"/>
      <x:c r="H5" s="46"/>
      <x:c r="I5" s="46"/>
      <x:c r="J5" s="46"/>
      <x:c r="K5" s="46"/>
      <x:c r="L5" s="46"/>
    </x:row>
    <x:row r="6" ht="70" customHeight="1">
      <x:c r="A6" s="46" t="str">
        <x:v>Execution guidance: Obtain the supplier subledger, aged listing and reconciliation at reporting date. Reperform the reconciliation, agree totals to GL/TB/FS, test significant or unusual reconciling items, verify completeness of the listing, and assess whether supplier debit balances require reclassification to receivables.</x:v>
      </x:c>
      <x:c r="B6" s="46"/>
      <x:c r="C6" s="46"/>
      <x:c r="D6" s="46"/>
      <x:c r="E6" s="46"/>
      <x:c r="F6" s="46"/>
      <x:c r="G6" s="46"/>
      <x:c r="H6" s="46"/>
      <x:c r="I6" s="46"/>
      <x:c r="J6" s="46"/>
      <x:c r="K6" s="46"/>
      <x:c r="L6" s="46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48" t="str">
        <x:v>Supplier / reconciling item</x:v>
      </x:c>
      <x:c r="B8" s="48" t="str">
        <x:v>Subledger balance</x:v>
      </x:c>
      <x:c r="C8" s="48" t="str">
        <x:v>Aged listing balance</x:v>
      </x:c>
      <x:c r="D8" s="48" t="str">
        <x:v>GL control balance</x:v>
      </x:c>
      <x:c r="E8" s="48" t="str">
        <x:v>SL vs aged diff.</x:v>
      </x:c>
      <x:c r="F8" s="48" t="str">
        <x:v>SL vs GL diff.</x:v>
      </x:c>
      <x:c r="G8" s="48" t="str">
        <x:v>Nature / age</x:v>
      </x:c>
      <x:c r="H8" s="48" t="str">
        <x:v>Supporting evidence</x:v>
      </x:c>
      <x:c r="I8" s="48" t="str">
        <x:v>Debit balance classification</x:v>
      </x:c>
      <x:c r="J8" s="48" t="str">
        <x:v>Proposed adjustment</x:v>
      </x:c>
      <x:c r="K8" s="48" t="str">
        <x:v>Result</x:v>
      </x:c>
      <x:c r="L8" s="48" t="str">
        <x:v>Tickmarks</x:v>
      </x:c>
    </x:row>
    <x:row r="9">
      <x:c r="A9" s="53"/>
      <x:c r="B9" s="54"/>
      <x:c r="C9" s="54"/>
      <x:c r="D9" s="54"/>
      <x:c r="E9" s="55" t="n">
        <x:f>B9-C9</x:f>
        <x:v>0</x:v>
      </x:c>
      <x:c r="F9" s="55" t="n">
        <x:f>B9-D9</x:f>
        <x:v>0</x:v>
      </x:c>
      <x:c r="G9" s="53"/>
      <x:c r="H9" s="53"/>
      <x:c r="I9" s="53"/>
      <x:c r="J9" s="54"/>
      <x:c r="K9" s="56" t="str">
        <x:f>IF(A9="","",IF(AND(ABS(E9)&lt;='General'!$B$11,ABS(F9)&lt;='General'!$B$11),"Reconciled","Investigate"))</x:f>
      </x:c>
      <x:c r="L9" s="53"/>
    </x:row>
    <x:row r="10">
      <x:c r="A10" s="53"/>
      <x:c r="B10" s="54"/>
      <x:c r="C10" s="54"/>
      <x:c r="D10" s="54"/>
      <x:c r="E10" s="55" t="n">
        <x:f>B10-C10</x:f>
        <x:v>0</x:v>
      </x:c>
      <x:c r="F10" s="55" t="n">
        <x:f>B10-D10</x:f>
        <x:v>0</x:v>
      </x:c>
      <x:c r="G10" s="53"/>
      <x:c r="H10" s="53"/>
      <x:c r="I10" s="53"/>
      <x:c r="J10" s="54"/>
      <x:c r="K10" s="56" t="str">
        <x:f>IF(A10="","",IF(AND(ABS(E10)&lt;='General'!$B$11,ABS(F10)&lt;='General'!$B$11),"Reconciled","Investigate"))</x:f>
      </x:c>
      <x:c r="L10" s="53"/>
    </x:row>
    <x:row r="11">
      <x:c r="A11" s="53"/>
      <x:c r="B11" s="54"/>
      <x:c r="C11" s="54"/>
      <x:c r="D11" s="54"/>
      <x:c r="E11" s="55" t="n">
        <x:f>B11-C11</x:f>
        <x:v>0</x:v>
      </x:c>
      <x:c r="F11" s="55" t="n">
        <x:f>B11-D11</x:f>
        <x:v>0</x:v>
      </x:c>
      <x:c r="G11" s="53"/>
      <x:c r="H11" s="53"/>
      <x:c r="I11" s="53"/>
      <x:c r="J11" s="54"/>
      <x:c r="K11" s="56" t="str">
        <x:f>IF(A11="","",IF(AND(ABS(E11)&lt;='General'!$B$11,ABS(F11)&lt;='General'!$B$11),"Reconciled","Investigate"))</x:f>
      </x:c>
      <x:c r="L11" s="53"/>
    </x:row>
    <x:row r="12">
      <x:c r="A12" s="53"/>
      <x:c r="B12" s="54"/>
      <x:c r="C12" s="54"/>
      <x:c r="D12" s="54"/>
      <x:c r="E12" s="55" t="n">
        <x:f>B12-C12</x:f>
        <x:v>0</x:v>
      </x:c>
      <x:c r="F12" s="55" t="n">
        <x:f>B12-D12</x:f>
        <x:v>0</x:v>
      </x:c>
      <x:c r="G12" s="53"/>
      <x:c r="H12" s="53"/>
      <x:c r="I12" s="53"/>
      <x:c r="J12" s="54"/>
      <x:c r="K12" s="56" t="str">
        <x:f>IF(A12="","",IF(AND(ABS(E12)&lt;='General'!$B$11,ABS(F12)&lt;='General'!$B$11),"Reconciled","Investigate"))</x:f>
      </x:c>
      <x:c r="L12" s="53"/>
    </x:row>
    <x:row r="13">
      <x:c r="A13" s="53"/>
      <x:c r="B13" s="54"/>
      <x:c r="C13" s="54"/>
      <x:c r="D13" s="54"/>
      <x:c r="E13" s="55" t="n">
        <x:f>B13-C13</x:f>
        <x:v>0</x:v>
      </x:c>
      <x:c r="F13" s="55" t="n">
        <x:f>B13-D13</x:f>
        <x:v>0</x:v>
      </x:c>
      <x:c r="G13" s="53"/>
      <x:c r="H13" s="53"/>
      <x:c r="I13" s="53"/>
      <x:c r="J13" s="54"/>
      <x:c r="K13" s="56" t="str">
        <x:f>IF(A13="","",IF(AND(ABS(E13)&lt;='General'!$B$11,ABS(F13)&lt;='General'!$B$11),"Reconciled","Investigate"))</x:f>
      </x:c>
      <x:c r="L13" s="53"/>
    </x:row>
    <x:row r="14">
      <x:c r="A14" s="53"/>
      <x:c r="B14" s="54"/>
      <x:c r="C14" s="54"/>
      <x:c r="D14" s="54"/>
      <x:c r="E14" s="55" t="n">
        <x:f>B14-C14</x:f>
        <x:v>0</x:v>
      </x:c>
      <x:c r="F14" s="55" t="n">
        <x:f>B14-D14</x:f>
        <x:v>0</x:v>
      </x:c>
      <x:c r="G14" s="53"/>
      <x:c r="H14" s="53"/>
      <x:c r="I14" s="53"/>
      <x:c r="J14" s="54"/>
      <x:c r="K14" s="56" t="str">
        <x:f>IF(A14="","",IF(AND(ABS(E14)&lt;='General'!$B$11,ABS(F14)&lt;='General'!$B$11),"Reconciled","Investigate"))</x:f>
      </x:c>
      <x:c r="L14" s="53"/>
    </x:row>
    <x:row r="15">
      <x:c r="A15" s="53"/>
      <x:c r="B15" s="54"/>
      <x:c r="C15" s="54"/>
      <x:c r="D15" s="54"/>
      <x:c r="E15" s="55" t="n">
        <x:f>B15-C15</x:f>
        <x:v>0</x:v>
      </x:c>
      <x:c r="F15" s="55" t="n">
        <x:f>B15-D15</x:f>
        <x:v>0</x:v>
      </x:c>
      <x:c r="G15" s="53"/>
      <x:c r="H15" s="53"/>
      <x:c r="I15" s="53"/>
      <x:c r="J15" s="54"/>
      <x:c r="K15" s="56" t="str">
        <x:f>IF(A15="","",IF(AND(ABS(E15)&lt;='General'!$B$11,ABS(F15)&lt;='General'!$B$11),"Reconciled","Investigate"))</x:f>
      </x:c>
      <x:c r="L15" s="53"/>
    </x:row>
    <x:row r="16">
      <x:c r="A16" s="53"/>
      <x:c r="B16" s="54"/>
      <x:c r="C16" s="54"/>
      <x:c r="D16" s="54"/>
      <x:c r="E16" s="55" t="n">
        <x:f>B16-C16</x:f>
        <x:v>0</x:v>
      </x:c>
      <x:c r="F16" s="55" t="n">
        <x:f>B16-D16</x:f>
        <x:v>0</x:v>
      </x:c>
      <x:c r="G16" s="53"/>
      <x:c r="H16" s="53"/>
      <x:c r="I16" s="53"/>
      <x:c r="J16" s="54"/>
      <x:c r="K16" s="56" t="str">
        <x:f>IF(A16="","",IF(AND(ABS(E16)&lt;='General'!$B$11,ABS(F16)&lt;='General'!$B$11),"Reconciled","Investigate"))</x:f>
      </x:c>
      <x:c r="L16" s="53"/>
    </x:row>
    <x:row r="17">
      <x:c r="A17" s="53"/>
      <x:c r="B17" s="54"/>
      <x:c r="C17" s="54"/>
      <x:c r="D17" s="54"/>
      <x:c r="E17" s="55" t="n">
        <x:f>B17-C17</x:f>
        <x:v>0</x:v>
      </x:c>
      <x:c r="F17" s="55" t="n">
        <x:f>B17-D17</x:f>
        <x:v>0</x:v>
      </x:c>
      <x:c r="G17" s="53"/>
      <x:c r="H17" s="53"/>
      <x:c r="I17" s="53"/>
      <x:c r="J17" s="54"/>
      <x:c r="K17" s="56" t="str">
        <x:f>IF(A17="","",IF(AND(ABS(E17)&lt;='General'!$B$11,ABS(F17)&lt;='General'!$B$11),"Reconciled","Investigate"))</x:f>
      </x:c>
      <x:c r="L17" s="53"/>
    </x:row>
    <x:row r="18">
      <x:c r="A18" s="53"/>
      <x:c r="B18" s="54"/>
      <x:c r="C18" s="54"/>
      <x:c r="D18" s="54"/>
      <x:c r="E18" s="55" t="n">
        <x:f>B18-C18</x:f>
        <x:v>0</x:v>
      </x:c>
      <x:c r="F18" s="55" t="n">
        <x:f>B18-D18</x:f>
        <x:v>0</x:v>
      </x:c>
      <x:c r="G18" s="53"/>
      <x:c r="H18" s="53"/>
      <x:c r="I18" s="53"/>
      <x:c r="J18" s="54"/>
      <x:c r="K18" s="56" t="str">
        <x:f>IF(A18="","",IF(AND(ABS(E18)&lt;='General'!$B$11,ABS(F18)&lt;='General'!$B$11),"Reconciled","Investigate"))</x:f>
      </x:c>
      <x:c r="L18" s="53"/>
    </x:row>
    <x:row r="19">
      <x:c r="A19" s="53"/>
      <x:c r="B19" s="54"/>
      <x:c r="C19" s="54"/>
      <x:c r="D19" s="54"/>
      <x:c r="E19" s="55" t="n">
        <x:f>B19-C19</x:f>
        <x:v>0</x:v>
      </x:c>
      <x:c r="F19" s="55" t="n">
        <x:f>B19-D19</x:f>
        <x:v>0</x:v>
      </x:c>
      <x:c r="G19" s="53"/>
      <x:c r="H19" s="53"/>
      <x:c r="I19" s="53"/>
      <x:c r="J19" s="54"/>
      <x:c r="K19" s="56" t="str">
        <x:f>IF(A19="","",IF(AND(ABS(E19)&lt;='General'!$B$11,ABS(F19)&lt;='General'!$B$11),"Reconciled","Investigate"))</x:f>
      </x:c>
      <x:c r="L19" s="53"/>
    </x:row>
    <x:row r="20">
      <x:c r="A20" s="53"/>
      <x:c r="B20" s="54"/>
      <x:c r="C20" s="54"/>
      <x:c r="D20" s="54"/>
      <x:c r="E20" s="55" t="n">
        <x:f>B20-C20</x:f>
        <x:v>0</x:v>
      </x:c>
      <x:c r="F20" s="55" t="n">
        <x:f>B20-D20</x:f>
        <x:v>0</x:v>
      </x:c>
      <x:c r="G20" s="53"/>
      <x:c r="H20" s="53"/>
      <x:c r="I20" s="53"/>
      <x:c r="J20" s="54"/>
      <x:c r="K20" s="56" t="str">
        <x:f>IF(A20="","",IF(AND(ABS(E20)&lt;='General'!$B$11,ABS(F20)&lt;='General'!$B$11),"Reconciled","Investigate"))</x:f>
      </x:c>
      <x:c r="L20" s="53"/>
    </x:row>
    <x:row r="21">
      <x:c r="A21" s="53"/>
      <x:c r="B21" s="54"/>
      <x:c r="C21" s="54"/>
      <x:c r="D21" s="54"/>
      <x:c r="E21" s="55" t="n">
        <x:f>B21-C21</x:f>
        <x:v>0</x:v>
      </x:c>
      <x:c r="F21" s="55" t="n">
        <x:f>B21-D21</x:f>
        <x:v>0</x:v>
      </x:c>
      <x:c r="G21" s="53"/>
      <x:c r="H21" s="53"/>
      <x:c r="I21" s="53"/>
      <x:c r="J21" s="54"/>
      <x:c r="K21" s="56" t="str">
        <x:f>IF(A21="","",IF(AND(ABS(E21)&lt;='General'!$B$11,ABS(F21)&lt;='General'!$B$11),"Reconciled","Investigate"))</x:f>
      </x:c>
      <x:c r="L21" s="53"/>
    </x:row>
    <x:row r="22">
      <x:c r="A22" s="53"/>
      <x:c r="B22" s="54"/>
      <x:c r="C22" s="54"/>
      <x:c r="D22" s="54"/>
      <x:c r="E22" s="55" t="n">
        <x:f>B22-C22</x:f>
        <x:v>0</x:v>
      </x:c>
      <x:c r="F22" s="55" t="n">
        <x:f>B22-D22</x:f>
        <x:v>0</x:v>
      </x:c>
      <x:c r="G22" s="53"/>
      <x:c r="H22" s="53"/>
      <x:c r="I22" s="53"/>
      <x:c r="J22" s="54"/>
      <x:c r="K22" s="56" t="str">
        <x:f>IF(A22="","",IF(AND(ABS(E22)&lt;='General'!$B$11,ABS(F22)&lt;='General'!$B$11),"Reconciled","Investigate"))</x:f>
      </x:c>
      <x:c r="L22" s="53"/>
    </x:row>
    <x:row r="23">
      <x:c r="A23" s="53"/>
      <x:c r="B23" s="54"/>
      <x:c r="C23" s="54"/>
      <x:c r="D23" s="54"/>
      <x:c r="E23" s="55" t="n">
        <x:f>B23-C23</x:f>
        <x:v>0</x:v>
      </x:c>
      <x:c r="F23" s="55" t="n">
        <x:f>B23-D23</x:f>
        <x:v>0</x:v>
      </x:c>
      <x:c r="G23" s="53"/>
      <x:c r="H23" s="53"/>
      <x:c r="I23" s="53"/>
      <x:c r="J23" s="54"/>
      <x:c r="K23" s="56" t="str">
        <x:f>IF(A23="","",IF(AND(ABS(E23)&lt;='General'!$B$11,ABS(F23)&lt;='General'!$B$11),"Reconciled","Investigate"))</x:f>
      </x:c>
      <x:c r="L23" s="53"/>
    </x:row>
    <x:row r="24">
      <x:c r="A24" s="53"/>
      <x:c r="B24" s="54"/>
      <x:c r="C24" s="54"/>
      <x:c r="D24" s="54"/>
      <x:c r="E24" s="55" t="n">
        <x:f>B24-C24</x:f>
        <x:v>0</x:v>
      </x:c>
      <x:c r="F24" s="55" t="n">
        <x:f>B24-D24</x:f>
        <x:v>0</x:v>
      </x:c>
      <x:c r="G24" s="53"/>
      <x:c r="H24" s="53"/>
      <x:c r="I24" s="53"/>
      <x:c r="J24" s="54"/>
      <x:c r="K24" s="56" t="str">
        <x:f>IF(A24="","",IF(AND(ABS(E24)&lt;='General'!$B$11,ABS(F24)&lt;='General'!$B$11),"Reconciled","Investigate"))</x:f>
      </x:c>
      <x:c r="L24" s="53"/>
    </x:row>
    <x:row r="25">
      <x:c r="A25" s="53"/>
      <x:c r="B25" s="54"/>
      <x:c r="C25" s="54"/>
      <x:c r="D25" s="54"/>
      <x:c r="E25" s="55" t="n">
        <x:f>B25-C25</x:f>
        <x:v>0</x:v>
      </x:c>
      <x:c r="F25" s="55" t="n">
        <x:f>B25-D25</x:f>
        <x:v>0</x:v>
      </x:c>
      <x:c r="G25" s="53"/>
      <x:c r="H25" s="53"/>
      <x:c r="I25" s="53"/>
      <x:c r="J25" s="54"/>
      <x:c r="K25" s="56" t="str">
        <x:f>IF(A25="","",IF(AND(ABS(E25)&lt;='General'!$B$11,ABS(F25)&lt;='General'!$B$11),"Reconciled","Investigate"))</x:f>
      </x:c>
      <x:c r="L25" s="53"/>
    </x:row>
    <x:row r="26">
      <x:c r="A26" s="53"/>
      <x:c r="B26" s="54"/>
      <x:c r="C26" s="54"/>
      <x:c r="D26" s="54"/>
      <x:c r="E26" s="55" t="n">
        <x:f>B26-C26</x:f>
        <x:v>0</x:v>
      </x:c>
      <x:c r="F26" s="55" t="n">
        <x:f>B26-D26</x:f>
        <x:v>0</x:v>
      </x:c>
      <x:c r="G26" s="53"/>
      <x:c r="H26" s="53"/>
      <x:c r="I26" s="53"/>
      <x:c r="J26" s="54"/>
      <x:c r="K26" s="56" t="str">
        <x:f>IF(A26="","",IF(AND(ABS(E26)&lt;='General'!$B$11,ABS(F26)&lt;='General'!$B$11),"Reconciled","Investigate"))</x:f>
      </x:c>
      <x:c r="L26" s="53"/>
    </x:row>
    <x:row r="27">
      <x:c r="A27" s="53"/>
      <x:c r="B27" s="54"/>
      <x:c r="C27" s="54"/>
      <x:c r="D27" s="54"/>
      <x:c r="E27" s="55" t="n">
        <x:f>B27-C27</x:f>
        <x:v>0</x:v>
      </x:c>
      <x:c r="F27" s="55" t="n">
        <x:f>B27-D27</x:f>
        <x:v>0</x:v>
      </x:c>
      <x:c r="G27" s="53"/>
      <x:c r="H27" s="53"/>
      <x:c r="I27" s="53"/>
      <x:c r="J27" s="54"/>
      <x:c r="K27" s="56" t="str">
        <x:f>IF(A27="","",IF(AND(ABS(E27)&lt;='General'!$B$11,ABS(F27)&lt;='General'!$B$11),"Reconciled","Investigate"))</x:f>
      </x:c>
      <x:c r="L27" s="53"/>
    </x:row>
    <x:row r="28">
      <x:c r="A28" s="53"/>
      <x:c r="B28" s="54"/>
      <x:c r="C28" s="54"/>
      <x:c r="D28" s="54"/>
      <x:c r="E28" s="55" t="n">
        <x:f>B28-C28</x:f>
        <x:v>0</x:v>
      </x:c>
      <x:c r="F28" s="55" t="n">
        <x:f>B28-D28</x:f>
        <x:v>0</x:v>
      </x:c>
      <x:c r="G28" s="53"/>
      <x:c r="H28" s="53"/>
      <x:c r="I28" s="53"/>
      <x:c r="J28" s="54"/>
      <x:c r="K28" s="56" t="str">
        <x:f>IF(A28="","",IF(AND(ABS(E28)&lt;='General'!$B$11,ABS(F28)&lt;='General'!$B$11),"Reconciled","Investigate"))</x:f>
      </x:c>
      <x:c r="L28" s="53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61" t="str">
        <x:v>Conclusion – N-01-GL: [Summarise the procedure-specific population tested, coverage, exceptions, quantified misstatements, follow-up work and whether the stated assertions were achieved.]</x:v>
      </x:c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3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</x:sheetData>
  <x:mergeCells>
    <x:mergeCell ref="A1:L1"/>
    <x:mergeCell ref="A5:L5"/>
    <x:mergeCell ref="A6:L6"/>
    <x:mergeCell ref="A30:L30"/>
  </x:mergeCells>
  <x:conditionalFormatting sqref="K9:K28">
    <x:cfRule type="containsText" dxfId="0" priority="1" operator="containsText" text="Exception"/>
    <x:cfRule type="containsText" dxfId="1" priority="2" operator="containsText" text="Investigate"/>
  </x:conditionalFormatting>
  <x:dataValidations count="3">
    <x:dataValidation type="list" sqref="J3">
      <x:formula1>"Not started,In progress,Prepared,Reviewed"</x:formula1>
    </x:dataValidation>
    <x:dataValidation type="list" sqref="I9:I28">
      <x:formula1>"Trade payable,Other receivable,Offset permitted,Investigate"</x:formula1>
    </x:dataValidation>
    <x:dataValidation type="list" sqref="L9:L28">
      <x:formula1>Tickmarks!$A$4:$A$21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22" hidden="0" customWidth="1"/>
    <x:col min="7" max="7" width="14" hidden="0" customWidth="1"/>
    <x:col min="8" max="8" width="22" hidden="0" customWidth="1"/>
    <x:col min="9" max="9" width="22" hidden="0" customWidth="1"/>
    <x:col min="10" max="10" width="14" hidden="0" customWidth="1"/>
    <x:col min="11" max="11" width="12" hidden="0" customWidth="1"/>
    <x:col min="12" max="12" width="12" hidden="0" customWidth="1"/>
  </x:cols>
  <x:sheetData>
    <x:row r="1" ht="24" customHeight="1">
      <x:c r="A1" s="3" t="str">
        <x:v>N - Trade Payables | N-02-GL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1" t="str">
        <x:v>Entity</x:v>
      </x:c>
      <x:c r="B2" s="43" t="str">
        <x:f>'General'!B3</x:f>
        <x:v>[Enter entity name]</x:v>
      </x:c>
      <x:c r="C2" s="43" t="str">
        <x:v>Period end</x:v>
      </x:c>
      <x:c r="D2" s="44" t="str">
        <x:f>IF('General'!B4="","",'General'!B4)</x:f>
      </x:c>
      <x:c r="E2" s="43" t="str">
        <x:v>Currency</x:v>
      </x:c>
      <x:c r="F2" s="43" t="str">
        <x:f>'General'!B5</x:f>
        <x:v>GBP</x:v>
      </x:c>
      <x:c r="G2" s="43" t="str">
        <x:v>Prepared by</x:v>
      </x:c>
      <x:c r="H2" s="43" t="str">
        <x:f>'General'!B6</x:f>
        <x:v>[Name / date]</x:v>
      </x:c>
      <x:c r="I2" s="43" t="str">
        <x:v>Reviewed by</x:v>
      </x:c>
      <x:c r="J2" s="43" t="str">
        <x:f>'General'!B7</x:f>
        <x:v>[Name / date]</x:v>
      </x:c>
      <x:c r="K2" s="1"/>
      <x:c r="L2" s="1"/>
    </x:row>
    <x:row r="3">
      <x:c r="A3" s="1" t="str">
        <x:v>WP reference</x:v>
      </x:c>
      <x:c r="B3" s="43" t="str">
        <x:v>N-02-GL</x:v>
      </x:c>
      <x:c r="C3" s="43" t="str">
        <x:v>Planning mat.</x:v>
      </x:c>
      <x:c r="D3" s="45" t="n">
        <x:f>'General'!B9</x:f>
        <x:v>0</x:v>
      </x:c>
      <x:c r="E3" s="45" t="str">
        <x:v>Tolerable error</x:v>
      </x:c>
      <x:c r="F3" s="45" t="n">
        <x:f>'General'!B10</x:f>
        <x:v>0</x:v>
      </x:c>
      <x:c r="G3" s="45" t="str">
        <x:v>SAD nominal</x:v>
      </x:c>
      <x:c r="H3" s="45" t="n">
        <x:f>'General'!B11</x:f>
        <x:v>0</x:v>
      </x:c>
      <x:c r="I3" s="43" t="str">
        <x:v>Status</x:v>
      </x:c>
      <x:c r="J3" s="8" t="str">
        <x:v>Not started</x:v>
      </x:c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44" customHeight="1">
      <x:c r="A5" s="46" t="str">
        <x:v>Objective (Existence, valuation, completeness, rights and obligations, presentation): Identify and resolve significant, unusual, debit, dormant, related-party or non-standard items in trade payables.</x:v>
      </x:c>
      <x:c r="B5" s="46"/>
      <x:c r="C5" s="46"/>
      <x:c r="D5" s="46"/>
      <x:c r="E5" s="46"/>
      <x:c r="F5" s="46"/>
      <x:c r="G5" s="46"/>
      <x:c r="H5" s="46"/>
      <x:c r="I5" s="46"/>
      <x:c r="J5" s="46"/>
      <x:c r="K5" s="46"/>
      <x:c r="L5" s="46"/>
    </x:row>
    <x:row r="6" ht="70" customHeight="1">
      <x:c r="A6" s="46" t="str">
        <x:v>Execution guidance: Scan the supplier ledger and journals; investigate significant debit balances, unusual descriptions, old items, round-sum/manual journals and unexpected movements. Inspect invoices, credit notes, correspondence and payments; quantify classification or measurement adjustments and consider whether findings require expanded testing.</x:v>
      </x:c>
      <x:c r="B6" s="46"/>
      <x:c r="C6" s="46"/>
      <x:c r="D6" s="46"/>
      <x:c r="E6" s="46"/>
      <x:c r="F6" s="46"/>
      <x:c r="G6" s="46"/>
      <x:c r="H6" s="46"/>
      <x:c r="I6" s="46"/>
      <x:c r="J6" s="46"/>
      <x:c r="K6" s="46"/>
      <x:c r="L6" s="46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48" t="str">
        <x:v>Supplier / journal ref.</x:v>
      </x:c>
      <x:c r="B8" s="48" t="str">
        <x:v>Item type</x:v>
      </x:c>
      <x:c r="C8" s="48" t="str">
        <x:v>Debit / credit</x:v>
      </x:c>
      <x:c r="D8" s="48" t="str">
        <x:v>Amount</x:v>
      </x:c>
      <x:c r="E8" s="48" t="str">
        <x:v>Age (days)</x:v>
      </x:c>
      <x:c r="F8" s="48" t="str">
        <x:v>Reason unusual</x:v>
      </x:c>
      <x:c r="G8" s="48" t="str">
        <x:v>Invoice / credit note ref.</x:v>
      </x:c>
      <x:c r="H8" s="48" t="str">
        <x:v>Payment / settlement evidence</x:v>
      </x:c>
      <x:c r="I8" s="48" t="str">
        <x:v>Correct classification</x:v>
      </x:c>
      <x:c r="J8" s="48" t="str">
        <x:v>Misstatement</x:v>
      </x:c>
      <x:c r="K8" s="48" t="str">
        <x:v>Result</x:v>
      </x:c>
      <x:c r="L8" s="48" t="str">
        <x:v>Tickmarks</x:v>
      </x:c>
    </x:row>
    <x:row r="9">
      <x:c r="A9" s="53"/>
      <x:c r="B9" s="53"/>
      <x:c r="C9" s="53"/>
      <x:c r="D9" s="54"/>
      <x:c r="E9" s="53"/>
      <x:c r="F9" s="53"/>
      <x:c r="G9" s="53"/>
      <x:c r="H9" s="53"/>
      <x:c r="I9" s="53"/>
      <x:c r="J9" s="54"/>
      <x:c r="K9" s="56" t="str">
        <x:f>IF(A9="","",IF(OR(I9="Investigate",ABS(J9)&gt;'General'!$B$11),"Exception","Cleared"))</x:f>
      </x:c>
      <x:c r="L9" s="53"/>
    </x:row>
    <x:row r="10">
      <x:c r="A10" s="53"/>
      <x:c r="B10" s="53"/>
      <x:c r="C10" s="53"/>
      <x:c r="D10" s="54"/>
      <x:c r="E10" s="53"/>
      <x:c r="F10" s="53"/>
      <x:c r="G10" s="53"/>
      <x:c r="H10" s="53"/>
      <x:c r="I10" s="53"/>
      <x:c r="J10" s="54"/>
      <x:c r="K10" s="56" t="str">
        <x:f>IF(A10="","",IF(OR(I10="Investigate",ABS(J10)&gt;'General'!$B$11),"Exception","Cleared"))</x:f>
      </x:c>
      <x:c r="L10" s="53"/>
    </x:row>
    <x:row r="11">
      <x:c r="A11" s="53"/>
      <x:c r="B11" s="53"/>
      <x:c r="C11" s="53"/>
      <x:c r="D11" s="54"/>
      <x:c r="E11" s="53"/>
      <x:c r="F11" s="53"/>
      <x:c r="G11" s="53"/>
      <x:c r="H11" s="53"/>
      <x:c r="I11" s="53"/>
      <x:c r="J11" s="54"/>
      <x:c r="K11" s="56" t="str">
        <x:f>IF(A11="","",IF(OR(I11="Investigate",ABS(J11)&gt;'General'!$B$11),"Exception","Cleared"))</x:f>
      </x:c>
      <x:c r="L11" s="53"/>
    </x:row>
    <x:row r="12">
      <x:c r="A12" s="53"/>
      <x:c r="B12" s="53"/>
      <x:c r="C12" s="53"/>
      <x:c r="D12" s="54"/>
      <x:c r="E12" s="53"/>
      <x:c r="F12" s="53"/>
      <x:c r="G12" s="53"/>
      <x:c r="H12" s="53"/>
      <x:c r="I12" s="53"/>
      <x:c r="J12" s="54"/>
      <x:c r="K12" s="56" t="str">
        <x:f>IF(A12="","",IF(OR(I12="Investigate",ABS(J12)&gt;'General'!$B$11),"Exception","Cleared"))</x:f>
      </x:c>
      <x:c r="L12" s="53"/>
    </x:row>
    <x:row r="13">
      <x:c r="A13" s="53"/>
      <x:c r="B13" s="53"/>
      <x:c r="C13" s="53"/>
      <x:c r="D13" s="54"/>
      <x:c r="E13" s="53"/>
      <x:c r="F13" s="53"/>
      <x:c r="G13" s="53"/>
      <x:c r="H13" s="53"/>
      <x:c r="I13" s="53"/>
      <x:c r="J13" s="54"/>
      <x:c r="K13" s="56" t="str">
        <x:f>IF(A13="","",IF(OR(I13="Investigate",ABS(J13)&gt;'General'!$B$11),"Exception","Cleared"))</x:f>
      </x:c>
      <x:c r="L13" s="53"/>
    </x:row>
    <x:row r="14">
      <x:c r="A14" s="53"/>
      <x:c r="B14" s="53"/>
      <x:c r="C14" s="53"/>
      <x:c r="D14" s="54"/>
      <x:c r="E14" s="53"/>
      <x:c r="F14" s="53"/>
      <x:c r="G14" s="53"/>
      <x:c r="H14" s="53"/>
      <x:c r="I14" s="53"/>
      <x:c r="J14" s="54"/>
      <x:c r="K14" s="56" t="str">
        <x:f>IF(A14="","",IF(OR(I14="Investigate",ABS(J14)&gt;'General'!$B$11),"Exception","Cleared"))</x:f>
      </x:c>
      <x:c r="L14" s="53"/>
    </x:row>
    <x:row r="15">
      <x:c r="A15" s="53"/>
      <x:c r="B15" s="53"/>
      <x:c r="C15" s="53"/>
      <x:c r="D15" s="54"/>
      <x:c r="E15" s="53"/>
      <x:c r="F15" s="53"/>
      <x:c r="G15" s="53"/>
      <x:c r="H15" s="53"/>
      <x:c r="I15" s="53"/>
      <x:c r="J15" s="54"/>
      <x:c r="K15" s="56" t="str">
        <x:f>IF(A15="","",IF(OR(I15="Investigate",ABS(J15)&gt;'General'!$B$11),"Exception","Cleared"))</x:f>
      </x:c>
      <x:c r="L15" s="53"/>
    </x:row>
    <x:row r="16">
      <x:c r="A16" s="53"/>
      <x:c r="B16" s="53"/>
      <x:c r="C16" s="53"/>
      <x:c r="D16" s="54"/>
      <x:c r="E16" s="53"/>
      <x:c r="F16" s="53"/>
      <x:c r="G16" s="53"/>
      <x:c r="H16" s="53"/>
      <x:c r="I16" s="53"/>
      <x:c r="J16" s="54"/>
      <x:c r="K16" s="56" t="str">
        <x:f>IF(A16="","",IF(OR(I16="Investigate",ABS(J16)&gt;'General'!$B$11),"Exception","Cleared"))</x:f>
      </x:c>
      <x:c r="L16" s="53"/>
    </x:row>
    <x:row r="17">
      <x:c r="A17" s="53"/>
      <x:c r="B17" s="53"/>
      <x:c r="C17" s="53"/>
      <x:c r="D17" s="54"/>
      <x:c r="E17" s="53"/>
      <x:c r="F17" s="53"/>
      <x:c r="G17" s="53"/>
      <x:c r="H17" s="53"/>
      <x:c r="I17" s="53"/>
      <x:c r="J17" s="54"/>
      <x:c r="K17" s="56" t="str">
        <x:f>IF(A17="","",IF(OR(I17="Investigate",ABS(J17)&gt;'General'!$B$11),"Exception","Cleared"))</x:f>
      </x:c>
      <x:c r="L17" s="53"/>
    </x:row>
    <x:row r="18">
      <x:c r="A18" s="53"/>
      <x:c r="B18" s="53"/>
      <x:c r="C18" s="53"/>
      <x:c r="D18" s="54"/>
      <x:c r="E18" s="53"/>
      <x:c r="F18" s="53"/>
      <x:c r="G18" s="53"/>
      <x:c r="H18" s="53"/>
      <x:c r="I18" s="53"/>
      <x:c r="J18" s="54"/>
      <x:c r="K18" s="56" t="str">
        <x:f>IF(A18="","",IF(OR(I18="Investigate",ABS(J18)&gt;'General'!$B$11),"Exception","Cleared"))</x:f>
      </x:c>
      <x:c r="L18" s="53"/>
    </x:row>
    <x:row r="19">
      <x:c r="A19" s="53"/>
      <x:c r="B19" s="53"/>
      <x:c r="C19" s="53"/>
      <x:c r="D19" s="54"/>
      <x:c r="E19" s="53"/>
      <x:c r="F19" s="53"/>
      <x:c r="G19" s="53"/>
      <x:c r="H19" s="53"/>
      <x:c r="I19" s="53"/>
      <x:c r="J19" s="54"/>
      <x:c r="K19" s="56" t="str">
        <x:f>IF(A19="","",IF(OR(I19="Investigate",ABS(J19)&gt;'General'!$B$11),"Exception","Cleared"))</x:f>
      </x:c>
      <x:c r="L19" s="53"/>
    </x:row>
    <x:row r="20">
      <x:c r="A20" s="53"/>
      <x:c r="B20" s="53"/>
      <x:c r="C20" s="53"/>
      <x:c r="D20" s="54"/>
      <x:c r="E20" s="53"/>
      <x:c r="F20" s="53"/>
      <x:c r="G20" s="53"/>
      <x:c r="H20" s="53"/>
      <x:c r="I20" s="53"/>
      <x:c r="J20" s="54"/>
      <x:c r="K20" s="56" t="str">
        <x:f>IF(A20="","",IF(OR(I20="Investigate",ABS(J20)&gt;'General'!$B$11),"Exception","Cleared"))</x:f>
      </x:c>
      <x:c r="L20" s="53"/>
    </x:row>
    <x:row r="21">
      <x:c r="A21" s="53"/>
      <x:c r="B21" s="53"/>
      <x:c r="C21" s="53"/>
      <x:c r="D21" s="54"/>
      <x:c r="E21" s="53"/>
      <x:c r="F21" s="53"/>
      <x:c r="G21" s="53"/>
      <x:c r="H21" s="53"/>
      <x:c r="I21" s="53"/>
      <x:c r="J21" s="54"/>
      <x:c r="K21" s="56" t="str">
        <x:f>IF(A21="","",IF(OR(I21="Investigate",ABS(J21)&gt;'General'!$B$11),"Exception","Cleared"))</x:f>
      </x:c>
      <x:c r="L21" s="53"/>
    </x:row>
    <x:row r="22">
      <x:c r="A22" s="53"/>
      <x:c r="B22" s="53"/>
      <x:c r="C22" s="53"/>
      <x:c r="D22" s="54"/>
      <x:c r="E22" s="53"/>
      <x:c r="F22" s="53"/>
      <x:c r="G22" s="53"/>
      <x:c r="H22" s="53"/>
      <x:c r="I22" s="53"/>
      <x:c r="J22" s="54"/>
      <x:c r="K22" s="56" t="str">
        <x:f>IF(A22="","",IF(OR(I22="Investigate",ABS(J22)&gt;'General'!$B$11),"Exception","Cleared"))</x:f>
      </x:c>
      <x:c r="L22" s="53"/>
    </x:row>
    <x:row r="23">
      <x:c r="A23" s="53"/>
      <x:c r="B23" s="53"/>
      <x:c r="C23" s="53"/>
      <x:c r="D23" s="54"/>
      <x:c r="E23" s="53"/>
      <x:c r="F23" s="53"/>
      <x:c r="G23" s="53"/>
      <x:c r="H23" s="53"/>
      <x:c r="I23" s="53"/>
      <x:c r="J23" s="54"/>
      <x:c r="K23" s="56" t="str">
        <x:f>IF(A23="","",IF(OR(I23="Investigate",ABS(J23)&gt;'General'!$B$11),"Exception","Cleared"))</x:f>
      </x:c>
      <x:c r="L23" s="53"/>
    </x:row>
    <x:row r="24">
      <x:c r="A24" s="53"/>
      <x:c r="B24" s="53"/>
      <x:c r="C24" s="53"/>
      <x:c r="D24" s="54"/>
      <x:c r="E24" s="53"/>
      <x:c r="F24" s="53"/>
      <x:c r="G24" s="53"/>
      <x:c r="H24" s="53"/>
      <x:c r="I24" s="53"/>
      <x:c r="J24" s="54"/>
      <x:c r="K24" s="56" t="str">
        <x:f>IF(A24="","",IF(OR(I24="Investigate",ABS(J24)&gt;'General'!$B$11),"Exception","Cleared"))</x:f>
      </x:c>
      <x:c r="L24" s="53"/>
    </x:row>
    <x:row r="25">
      <x:c r="A25" s="53"/>
      <x:c r="B25" s="53"/>
      <x:c r="C25" s="53"/>
      <x:c r="D25" s="54"/>
      <x:c r="E25" s="53"/>
      <x:c r="F25" s="53"/>
      <x:c r="G25" s="53"/>
      <x:c r="H25" s="53"/>
      <x:c r="I25" s="53"/>
      <x:c r="J25" s="54"/>
      <x:c r="K25" s="56" t="str">
        <x:f>IF(A25="","",IF(OR(I25="Investigate",ABS(J25)&gt;'General'!$B$11),"Exception","Cleared"))</x:f>
      </x:c>
      <x:c r="L25" s="53"/>
    </x:row>
    <x:row r="26">
      <x:c r="A26" s="53"/>
      <x:c r="B26" s="53"/>
      <x:c r="C26" s="53"/>
      <x:c r="D26" s="54"/>
      <x:c r="E26" s="53"/>
      <x:c r="F26" s="53"/>
      <x:c r="G26" s="53"/>
      <x:c r="H26" s="53"/>
      <x:c r="I26" s="53"/>
      <x:c r="J26" s="54"/>
      <x:c r="K26" s="56" t="str">
        <x:f>IF(A26="","",IF(OR(I26="Investigate",ABS(J26)&gt;'General'!$B$11),"Exception","Cleared"))</x:f>
      </x:c>
      <x:c r="L26" s="53"/>
    </x:row>
    <x:row r="27">
      <x:c r="A27" s="53"/>
      <x:c r="B27" s="53"/>
      <x:c r="C27" s="53"/>
      <x:c r="D27" s="54"/>
      <x:c r="E27" s="53"/>
      <x:c r="F27" s="53"/>
      <x:c r="G27" s="53"/>
      <x:c r="H27" s="53"/>
      <x:c r="I27" s="53"/>
      <x:c r="J27" s="54"/>
      <x:c r="K27" s="56" t="str">
        <x:f>IF(A27="","",IF(OR(I27="Investigate",ABS(J27)&gt;'General'!$B$11),"Exception","Cleared"))</x:f>
      </x:c>
      <x:c r="L27" s="53"/>
    </x:row>
    <x:row r="28">
      <x:c r="A28" s="53"/>
      <x:c r="B28" s="53"/>
      <x:c r="C28" s="53"/>
      <x:c r="D28" s="54"/>
      <x:c r="E28" s="53"/>
      <x:c r="F28" s="53"/>
      <x:c r="G28" s="53"/>
      <x:c r="H28" s="53"/>
      <x:c r="I28" s="53"/>
      <x:c r="J28" s="54"/>
      <x:c r="K28" s="56" t="str">
        <x:f>IF(A28="","",IF(OR(I28="Investigate",ABS(J28)&gt;'General'!$B$11),"Exception","Cleared"))</x:f>
      </x:c>
      <x:c r="L28" s="53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61" t="str">
        <x:v>Conclusion – N-02-GL: [Summarise the procedure-specific population tested, coverage, exceptions, quantified misstatements, follow-up work and whether the stated assertions were achieved.]</x:v>
      </x:c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3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</x:sheetData>
  <x:mergeCells>
    <x:mergeCell ref="A1:L1"/>
    <x:mergeCell ref="A5:L5"/>
    <x:mergeCell ref="A6:L6"/>
    <x:mergeCell ref="A30:L30"/>
  </x:mergeCells>
  <x:conditionalFormatting sqref="K9:K28">
    <x:cfRule type="containsText" dxfId="2" priority="1" operator="containsText" text="Exception"/>
    <x:cfRule type="containsText" dxfId="3" priority="2" operator="containsText" text="Investigate"/>
  </x:conditionalFormatting>
  <x:dataValidations count="5">
    <x:dataValidation type="list" sqref="J3">
      <x:formula1>"Not started,In progress,Prepared,Reviewed"</x:formula1>
    </x:dataValidation>
    <x:dataValidation type="list" sqref="B9:B28">
      <x:formula1>"Debit balance,Old balance,Manual journal,Related party,Round sum,Other"</x:formula1>
    </x:dataValidation>
    <x:dataValidation type="list" sqref="C9:C28">
      <x:formula1>"Debit,Credit"</x:formula1>
    </x:dataValidation>
    <x:dataValidation type="list" sqref="I9:I28">
      <x:formula1>"Trade payable,Other receivable,Other liability,Investigate"</x:formula1>
    </x:dataValidation>
    <x:dataValidation type="list" sqref="L9:L28">
      <x:formula1>Tickmarks!$A$4:$A$21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4" hidden="0" customWidth="1"/>
    <x:col min="9" max="9" width="14" hidden="0" customWidth="1"/>
    <x:col min="10" max="10" width="22" hidden="0" customWidth="1"/>
    <x:col min="11" max="11" width="12" hidden="0" customWidth="1"/>
    <x:col min="12" max="12" width="12" hidden="0" customWidth="1"/>
  </x:cols>
  <x:sheetData>
    <x:row r="1" ht="24" customHeight="1">
      <x:c r="A1" s="3" t="str">
        <x:v>N - Trade Payables | N-03-GL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1" t="str">
        <x:v>Entity</x:v>
      </x:c>
      <x:c r="B2" s="43" t="str">
        <x:f>'General'!B3</x:f>
        <x:v>[Enter entity name]</x:v>
      </x:c>
      <x:c r="C2" s="43" t="str">
        <x:v>Period end</x:v>
      </x:c>
      <x:c r="D2" s="44" t="str">
        <x:f>IF('General'!B4="","",'General'!B4)</x:f>
      </x:c>
      <x:c r="E2" s="43" t="str">
        <x:v>Currency</x:v>
      </x:c>
      <x:c r="F2" s="43" t="str">
        <x:f>'General'!B5</x:f>
        <x:v>GBP</x:v>
      </x:c>
      <x:c r="G2" s="43" t="str">
        <x:v>Prepared by</x:v>
      </x:c>
      <x:c r="H2" s="43" t="str">
        <x:f>'General'!B6</x:f>
        <x:v>[Name / date]</x:v>
      </x:c>
      <x:c r="I2" s="43" t="str">
        <x:v>Reviewed by</x:v>
      </x:c>
      <x:c r="J2" s="43" t="str">
        <x:f>'General'!B7</x:f>
        <x:v>[Name / date]</x:v>
      </x:c>
      <x:c r="K2" s="1"/>
      <x:c r="L2" s="1"/>
    </x:row>
    <x:row r="3">
      <x:c r="A3" s="1" t="str">
        <x:v>WP reference</x:v>
      </x:c>
      <x:c r="B3" s="43" t="str">
        <x:v>N-03-GL</x:v>
      </x:c>
      <x:c r="C3" s="43" t="str">
        <x:v>Planning mat.</x:v>
      </x:c>
      <x:c r="D3" s="45" t="n">
        <x:f>'General'!B9</x:f>
        <x:v>0</x:v>
      </x:c>
      <x:c r="E3" s="45" t="str">
        <x:v>Tolerable error</x:v>
      </x:c>
      <x:c r="F3" s="45" t="n">
        <x:f>'General'!B10</x:f>
        <x:v>0</x:v>
      </x:c>
      <x:c r="G3" s="45" t="str">
        <x:v>SAD nominal</x:v>
      </x:c>
      <x:c r="H3" s="45" t="n">
        <x:f>'General'!B11</x:f>
        <x:v>0</x:v>
      </x:c>
      <x:c r="I3" s="43" t="str">
        <x:v>Status</x:v>
      </x:c>
      <x:c r="J3" s="8" t="str">
        <x:v>Not started</x:v>
      </x:c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44" customHeight="1">
      <x:c r="A5" s="46" t="str">
        <x:v>Objective (Existence, completeness, rights and obligations): Determine whether purchases, receipts, returns and related liabilities around period end are recorded in the correct accounting period.</x:v>
      </x:c>
      <x:c r="B5" s="46"/>
      <x:c r="C5" s="46"/>
      <x:c r="D5" s="46"/>
      <x:c r="E5" s="46"/>
      <x:c r="F5" s="46"/>
      <x:c r="G5" s="46"/>
      <x:c r="H5" s="46"/>
      <x:c r="I5" s="46"/>
      <x:c r="J5" s="46"/>
      <x:c r="K5" s="46"/>
      <x:c r="L5" s="46"/>
    </x:row>
    <x:row r="6" ht="70" customHeight="1">
      <x:c r="A6" s="46" t="str">
        <x:v>Execution guidance: Develop an expectation for purchasing near year-end and investigate unusual fluctuations. Select goods-received notes, invoices, returns and dispatch/receipt records immediately before and after year-end; agree receipt or transfer-of-control dates to the recorded period and cross-reference inventory and cash cut-off work.</x:v>
      </x:c>
      <x:c r="B6" s="46"/>
      <x:c r="C6" s="46"/>
      <x:c r="D6" s="46"/>
      <x:c r="E6" s="46"/>
      <x:c r="F6" s="46"/>
      <x:c r="G6" s="46"/>
      <x:c r="H6" s="46"/>
      <x:c r="I6" s="46"/>
      <x:c r="J6" s="46"/>
      <x:c r="K6" s="46"/>
      <x:c r="L6" s="46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48" t="str">
        <x:v>Sample / document</x:v>
      </x:c>
      <x:c r="B8" s="48" t="str">
        <x:v>Supplier</x:v>
      </x:c>
      <x:c r="C8" s="48" t="str">
        <x:v>GRN / service date</x:v>
      </x:c>
      <x:c r="D8" s="48" t="str">
        <x:v>Invoice date</x:v>
      </x:c>
      <x:c r="E8" s="48" t="str">
        <x:v>Ledger posting date</x:v>
      </x:c>
      <x:c r="F8" s="48" t="str">
        <x:v>Recorded period</x:v>
      </x:c>
      <x:c r="G8" s="48" t="str">
        <x:v>Correct period</x:v>
      </x:c>
      <x:c r="H8" s="48" t="str">
        <x:v>Amount</x:v>
      </x:c>
      <x:c r="I8" s="48" t="str">
        <x:v>Cut-off exception</x:v>
      </x:c>
      <x:c r="J8" s="48" t="str">
        <x:v>Evidence inspected</x:v>
      </x:c>
      <x:c r="K8" s="48" t="str">
        <x:v>Result</x:v>
      </x:c>
      <x:c r="L8" s="48" t="str">
        <x:v>Tickmarks</x:v>
      </x:c>
    </x:row>
    <x:row r="9">
      <x:c r="A9" s="53"/>
      <x:c r="B9" s="53"/>
      <x:c r="C9" s="66"/>
      <x:c r="D9" s="66"/>
      <x:c r="E9" s="66"/>
      <x:c r="F9" s="53"/>
      <x:c r="G9" s="53"/>
      <x:c r="H9" s="54"/>
      <x:c r="I9" s="55" t="n">
        <x:f>IF(OR(F9="",G9=""),0,IF(F9=G9,0,H9))</x:f>
        <x:v>0</x:v>
      </x:c>
      <x:c r="J9" s="53"/>
      <x:c r="K9" s="56" t="str">
        <x:f>IF(A9="","",IF(I9=0,"Correct period","Exception"))</x:f>
      </x:c>
      <x:c r="L9" s="53"/>
    </x:row>
    <x:row r="10">
      <x:c r="A10" s="53"/>
      <x:c r="B10" s="53"/>
      <x:c r="C10" s="66"/>
      <x:c r="D10" s="66"/>
      <x:c r="E10" s="66"/>
      <x:c r="F10" s="53"/>
      <x:c r="G10" s="53"/>
      <x:c r="H10" s="54"/>
      <x:c r="I10" s="55" t="n">
        <x:f>IF(OR(F10="",G10=""),0,IF(F10=G10,0,H10))</x:f>
        <x:v>0</x:v>
      </x:c>
      <x:c r="J10" s="53"/>
      <x:c r="K10" s="56" t="str">
        <x:f>IF(A10="","",IF(I10=0,"Correct period","Exception"))</x:f>
      </x:c>
      <x:c r="L10" s="53"/>
    </x:row>
    <x:row r="11">
      <x:c r="A11" s="53"/>
      <x:c r="B11" s="53"/>
      <x:c r="C11" s="66"/>
      <x:c r="D11" s="66"/>
      <x:c r="E11" s="66"/>
      <x:c r="F11" s="53"/>
      <x:c r="G11" s="53"/>
      <x:c r="H11" s="54"/>
      <x:c r="I11" s="55" t="n">
        <x:f>IF(OR(F11="",G11=""),0,IF(F11=G11,0,H11))</x:f>
        <x:v>0</x:v>
      </x:c>
      <x:c r="J11" s="53"/>
      <x:c r="K11" s="56" t="str">
        <x:f>IF(A11="","",IF(I11=0,"Correct period","Exception"))</x:f>
      </x:c>
      <x:c r="L11" s="53"/>
    </x:row>
    <x:row r="12">
      <x:c r="A12" s="53"/>
      <x:c r="B12" s="53"/>
      <x:c r="C12" s="66"/>
      <x:c r="D12" s="66"/>
      <x:c r="E12" s="66"/>
      <x:c r="F12" s="53"/>
      <x:c r="G12" s="53"/>
      <x:c r="H12" s="54"/>
      <x:c r="I12" s="55" t="n">
        <x:f>IF(OR(F12="",G12=""),0,IF(F12=G12,0,H12))</x:f>
        <x:v>0</x:v>
      </x:c>
      <x:c r="J12" s="53"/>
      <x:c r="K12" s="56" t="str">
        <x:f>IF(A12="","",IF(I12=0,"Correct period","Exception"))</x:f>
      </x:c>
      <x:c r="L12" s="53"/>
    </x:row>
    <x:row r="13">
      <x:c r="A13" s="53"/>
      <x:c r="B13" s="53"/>
      <x:c r="C13" s="66"/>
      <x:c r="D13" s="66"/>
      <x:c r="E13" s="66"/>
      <x:c r="F13" s="53"/>
      <x:c r="G13" s="53"/>
      <x:c r="H13" s="54"/>
      <x:c r="I13" s="55" t="n">
        <x:f>IF(OR(F13="",G13=""),0,IF(F13=G13,0,H13))</x:f>
        <x:v>0</x:v>
      </x:c>
      <x:c r="J13" s="53"/>
      <x:c r="K13" s="56" t="str">
        <x:f>IF(A13="","",IF(I13=0,"Correct period","Exception"))</x:f>
      </x:c>
      <x:c r="L13" s="53"/>
    </x:row>
    <x:row r="14">
      <x:c r="A14" s="53"/>
      <x:c r="B14" s="53"/>
      <x:c r="C14" s="66"/>
      <x:c r="D14" s="66"/>
      <x:c r="E14" s="66"/>
      <x:c r="F14" s="53"/>
      <x:c r="G14" s="53"/>
      <x:c r="H14" s="54"/>
      <x:c r="I14" s="55" t="n">
        <x:f>IF(OR(F14="",G14=""),0,IF(F14=G14,0,H14))</x:f>
        <x:v>0</x:v>
      </x:c>
      <x:c r="J14" s="53"/>
      <x:c r="K14" s="56" t="str">
        <x:f>IF(A14="","",IF(I14=0,"Correct period","Exception"))</x:f>
      </x:c>
      <x:c r="L14" s="53"/>
    </x:row>
    <x:row r="15">
      <x:c r="A15" s="53"/>
      <x:c r="B15" s="53"/>
      <x:c r="C15" s="66"/>
      <x:c r="D15" s="66"/>
      <x:c r="E15" s="66"/>
      <x:c r="F15" s="53"/>
      <x:c r="G15" s="53"/>
      <x:c r="H15" s="54"/>
      <x:c r="I15" s="55" t="n">
        <x:f>IF(OR(F15="",G15=""),0,IF(F15=G15,0,H15))</x:f>
        <x:v>0</x:v>
      </x:c>
      <x:c r="J15" s="53"/>
      <x:c r="K15" s="56" t="str">
        <x:f>IF(A15="","",IF(I15=0,"Correct period","Exception"))</x:f>
      </x:c>
      <x:c r="L15" s="53"/>
    </x:row>
    <x:row r="16">
      <x:c r="A16" s="53"/>
      <x:c r="B16" s="53"/>
      <x:c r="C16" s="66"/>
      <x:c r="D16" s="66"/>
      <x:c r="E16" s="66"/>
      <x:c r="F16" s="53"/>
      <x:c r="G16" s="53"/>
      <x:c r="H16" s="54"/>
      <x:c r="I16" s="55" t="n">
        <x:f>IF(OR(F16="",G16=""),0,IF(F16=G16,0,H16))</x:f>
        <x:v>0</x:v>
      </x:c>
      <x:c r="J16" s="53"/>
      <x:c r="K16" s="56" t="str">
        <x:f>IF(A16="","",IF(I16=0,"Correct period","Exception"))</x:f>
      </x:c>
      <x:c r="L16" s="53"/>
    </x:row>
    <x:row r="17">
      <x:c r="A17" s="53"/>
      <x:c r="B17" s="53"/>
      <x:c r="C17" s="66"/>
      <x:c r="D17" s="66"/>
      <x:c r="E17" s="66"/>
      <x:c r="F17" s="53"/>
      <x:c r="G17" s="53"/>
      <x:c r="H17" s="54"/>
      <x:c r="I17" s="55" t="n">
        <x:f>IF(OR(F17="",G17=""),0,IF(F17=G17,0,H17))</x:f>
        <x:v>0</x:v>
      </x:c>
      <x:c r="J17" s="53"/>
      <x:c r="K17" s="56" t="str">
        <x:f>IF(A17="","",IF(I17=0,"Correct period","Exception"))</x:f>
      </x:c>
      <x:c r="L17" s="53"/>
    </x:row>
    <x:row r="18">
      <x:c r="A18" s="53"/>
      <x:c r="B18" s="53"/>
      <x:c r="C18" s="66"/>
      <x:c r="D18" s="66"/>
      <x:c r="E18" s="66"/>
      <x:c r="F18" s="53"/>
      <x:c r="G18" s="53"/>
      <x:c r="H18" s="54"/>
      <x:c r="I18" s="55" t="n">
        <x:f>IF(OR(F18="",G18=""),0,IF(F18=G18,0,H18))</x:f>
        <x:v>0</x:v>
      </x:c>
      <x:c r="J18" s="53"/>
      <x:c r="K18" s="56" t="str">
        <x:f>IF(A18="","",IF(I18=0,"Correct period","Exception"))</x:f>
      </x:c>
      <x:c r="L18" s="53"/>
    </x:row>
    <x:row r="19">
      <x:c r="A19" s="53"/>
      <x:c r="B19" s="53"/>
      <x:c r="C19" s="66"/>
      <x:c r="D19" s="66"/>
      <x:c r="E19" s="66"/>
      <x:c r="F19" s="53"/>
      <x:c r="G19" s="53"/>
      <x:c r="H19" s="54"/>
      <x:c r="I19" s="55" t="n">
        <x:f>IF(OR(F19="",G19=""),0,IF(F19=G19,0,H19))</x:f>
        <x:v>0</x:v>
      </x:c>
      <x:c r="J19" s="53"/>
      <x:c r="K19" s="56" t="str">
        <x:f>IF(A19="","",IF(I19=0,"Correct period","Exception"))</x:f>
      </x:c>
      <x:c r="L19" s="53"/>
    </x:row>
    <x:row r="20">
      <x:c r="A20" s="53"/>
      <x:c r="B20" s="53"/>
      <x:c r="C20" s="66"/>
      <x:c r="D20" s="66"/>
      <x:c r="E20" s="66"/>
      <x:c r="F20" s="53"/>
      <x:c r="G20" s="53"/>
      <x:c r="H20" s="54"/>
      <x:c r="I20" s="55" t="n">
        <x:f>IF(OR(F20="",G20=""),0,IF(F20=G20,0,H20))</x:f>
        <x:v>0</x:v>
      </x:c>
      <x:c r="J20" s="53"/>
      <x:c r="K20" s="56" t="str">
        <x:f>IF(A20="","",IF(I20=0,"Correct period","Exception"))</x:f>
      </x:c>
      <x:c r="L20" s="53"/>
    </x:row>
    <x:row r="21">
      <x:c r="A21" s="53"/>
      <x:c r="B21" s="53"/>
      <x:c r="C21" s="66"/>
      <x:c r="D21" s="66"/>
      <x:c r="E21" s="66"/>
      <x:c r="F21" s="53"/>
      <x:c r="G21" s="53"/>
      <x:c r="H21" s="54"/>
      <x:c r="I21" s="55" t="n">
        <x:f>IF(OR(F21="",G21=""),0,IF(F21=G21,0,H21))</x:f>
        <x:v>0</x:v>
      </x:c>
      <x:c r="J21" s="53"/>
      <x:c r="K21" s="56" t="str">
        <x:f>IF(A21="","",IF(I21=0,"Correct period","Exception"))</x:f>
      </x:c>
      <x:c r="L21" s="53"/>
    </x:row>
    <x:row r="22">
      <x:c r="A22" s="53"/>
      <x:c r="B22" s="53"/>
      <x:c r="C22" s="66"/>
      <x:c r="D22" s="66"/>
      <x:c r="E22" s="66"/>
      <x:c r="F22" s="53"/>
      <x:c r="G22" s="53"/>
      <x:c r="H22" s="54"/>
      <x:c r="I22" s="55" t="n">
        <x:f>IF(OR(F22="",G22=""),0,IF(F22=G22,0,H22))</x:f>
        <x:v>0</x:v>
      </x:c>
      <x:c r="J22" s="53"/>
      <x:c r="K22" s="56" t="str">
        <x:f>IF(A22="","",IF(I22=0,"Correct period","Exception"))</x:f>
      </x:c>
      <x:c r="L22" s="53"/>
    </x:row>
    <x:row r="23">
      <x:c r="A23" s="53"/>
      <x:c r="B23" s="53"/>
      <x:c r="C23" s="66"/>
      <x:c r="D23" s="66"/>
      <x:c r="E23" s="66"/>
      <x:c r="F23" s="53"/>
      <x:c r="G23" s="53"/>
      <x:c r="H23" s="54"/>
      <x:c r="I23" s="55" t="n">
        <x:f>IF(OR(F23="",G23=""),0,IF(F23=G23,0,H23))</x:f>
        <x:v>0</x:v>
      </x:c>
      <x:c r="J23" s="53"/>
      <x:c r="K23" s="56" t="str">
        <x:f>IF(A23="","",IF(I23=0,"Correct period","Exception"))</x:f>
      </x:c>
      <x:c r="L23" s="53"/>
    </x:row>
    <x:row r="24">
      <x:c r="A24" s="53"/>
      <x:c r="B24" s="53"/>
      <x:c r="C24" s="66"/>
      <x:c r="D24" s="66"/>
      <x:c r="E24" s="66"/>
      <x:c r="F24" s="53"/>
      <x:c r="G24" s="53"/>
      <x:c r="H24" s="54"/>
      <x:c r="I24" s="55" t="n">
        <x:f>IF(OR(F24="",G24=""),0,IF(F24=G24,0,H24))</x:f>
        <x:v>0</x:v>
      </x:c>
      <x:c r="J24" s="53"/>
      <x:c r="K24" s="56" t="str">
        <x:f>IF(A24="","",IF(I24=0,"Correct period","Exception"))</x:f>
      </x:c>
      <x:c r="L24" s="53"/>
    </x:row>
    <x:row r="25">
      <x:c r="A25" s="53"/>
      <x:c r="B25" s="53"/>
      <x:c r="C25" s="66"/>
      <x:c r="D25" s="66"/>
      <x:c r="E25" s="66"/>
      <x:c r="F25" s="53"/>
      <x:c r="G25" s="53"/>
      <x:c r="H25" s="54"/>
      <x:c r="I25" s="55" t="n">
        <x:f>IF(OR(F25="",G25=""),0,IF(F25=G25,0,H25))</x:f>
        <x:v>0</x:v>
      </x:c>
      <x:c r="J25" s="53"/>
      <x:c r="K25" s="56" t="str">
        <x:f>IF(A25="","",IF(I25=0,"Correct period","Exception"))</x:f>
      </x:c>
      <x:c r="L25" s="53"/>
    </x:row>
    <x:row r="26">
      <x:c r="A26" s="53"/>
      <x:c r="B26" s="53"/>
      <x:c r="C26" s="66"/>
      <x:c r="D26" s="66"/>
      <x:c r="E26" s="66"/>
      <x:c r="F26" s="53"/>
      <x:c r="G26" s="53"/>
      <x:c r="H26" s="54"/>
      <x:c r="I26" s="55" t="n">
        <x:f>IF(OR(F26="",G26=""),0,IF(F26=G26,0,H26))</x:f>
        <x:v>0</x:v>
      </x:c>
      <x:c r="J26" s="53"/>
      <x:c r="K26" s="56" t="str">
        <x:f>IF(A26="","",IF(I26=0,"Correct period","Exception"))</x:f>
      </x:c>
      <x:c r="L26" s="53"/>
    </x:row>
    <x:row r="27">
      <x:c r="A27" s="53"/>
      <x:c r="B27" s="53"/>
      <x:c r="C27" s="66"/>
      <x:c r="D27" s="66"/>
      <x:c r="E27" s="66"/>
      <x:c r="F27" s="53"/>
      <x:c r="G27" s="53"/>
      <x:c r="H27" s="54"/>
      <x:c r="I27" s="55" t="n">
        <x:f>IF(OR(F27="",G27=""),0,IF(F27=G27,0,H27))</x:f>
        <x:v>0</x:v>
      </x:c>
      <x:c r="J27" s="53"/>
      <x:c r="K27" s="56" t="str">
        <x:f>IF(A27="","",IF(I27=0,"Correct period","Exception"))</x:f>
      </x:c>
      <x:c r="L27" s="53"/>
    </x:row>
    <x:row r="28">
      <x:c r="A28" s="53"/>
      <x:c r="B28" s="53"/>
      <x:c r="C28" s="66"/>
      <x:c r="D28" s="66"/>
      <x:c r="E28" s="66"/>
      <x:c r="F28" s="53"/>
      <x:c r="G28" s="53"/>
      <x:c r="H28" s="54"/>
      <x:c r="I28" s="55" t="n">
        <x:f>IF(OR(F28="",G28=""),0,IF(F28=G28,0,H28))</x:f>
        <x:v>0</x:v>
      </x:c>
      <x:c r="J28" s="53"/>
      <x:c r="K28" s="56" t="str">
        <x:f>IF(A28="","",IF(I28=0,"Correct period","Exception"))</x:f>
      </x:c>
      <x:c r="L28" s="53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61" t="str">
        <x:v>Conclusion – N-03-GL: [Summarise the procedure-specific population tested, coverage, exceptions, quantified misstatements, follow-up work and whether the stated assertions were achieved.]</x:v>
      </x:c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3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</x:sheetData>
  <x:mergeCells>
    <x:mergeCell ref="A1:L1"/>
    <x:mergeCell ref="A5:L5"/>
    <x:mergeCell ref="A6:L6"/>
    <x:mergeCell ref="A30:L30"/>
  </x:mergeCells>
  <x:conditionalFormatting sqref="K9:K28">
    <x:cfRule type="containsText" dxfId="4" priority="1" operator="containsText" text="Exception"/>
    <x:cfRule type="containsText" dxfId="5" priority="2" operator="containsText" text="Investigate"/>
  </x:conditionalFormatting>
  <x:dataValidations count="4">
    <x:dataValidation type="list" sqref="J3">
      <x:formula1>"Not started,In progress,Prepared,Reviewed"</x:formula1>
    </x:dataValidation>
    <x:dataValidation type="list" sqref="F9:F28">
      <x:formula1>"Current year,Next year,Prior year"</x:formula1>
    </x:dataValidation>
    <x:dataValidation type="list" sqref="G9:G28">
      <x:formula1>"Current year,Next year,Prior year"</x:formula1>
    </x:dataValidation>
    <x:dataValidation type="list" sqref="L9:L28">
      <x:formula1>Tickmarks!$A$4:$A$21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4" hidden="0" customWidth="1"/>
    <x:col min="3" max="3" width="12" hidden="0" customWidth="1"/>
    <x:col min="4" max="4" width="12" hidden="0" customWidth="1"/>
    <x:col min="5" max="5" width="14" hidden="0" customWidth="1"/>
    <x:col min="6" max="6" width="14" hidden="0" customWidth="1"/>
    <x:col min="7" max="7" width="14" hidden="0" customWidth="1"/>
    <x:col min="8" max="8" width="12" hidden="0" customWidth="1"/>
    <x:col min="9" max="9" width="14" hidden="0" customWidth="1"/>
    <x:col min="10" max="10" width="22" hidden="0" customWidth="1"/>
    <x:col min="11" max="11" width="12" hidden="0" customWidth="1"/>
    <x:col min="12" max="12" width="12" hidden="0" customWidth="1"/>
  </x:cols>
  <x:sheetData>
    <x:row r="1" ht="24" customHeight="1">
      <x:c r="A1" s="3" t="str">
        <x:v>N - Trade Payables | N-04-GL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1" t="str">
        <x:v>Entity</x:v>
      </x:c>
      <x:c r="B2" s="43" t="str">
        <x:f>'General'!B3</x:f>
        <x:v>[Enter entity name]</x:v>
      </x:c>
      <x:c r="C2" s="43" t="str">
        <x:v>Period end</x:v>
      </x:c>
      <x:c r="D2" s="44" t="str">
        <x:f>IF('General'!B4="","",'General'!B4)</x:f>
      </x:c>
      <x:c r="E2" s="43" t="str">
        <x:v>Currency</x:v>
      </x:c>
      <x:c r="F2" s="43" t="str">
        <x:f>'General'!B5</x:f>
        <x:v>GBP</x:v>
      </x:c>
      <x:c r="G2" s="43" t="str">
        <x:v>Prepared by</x:v>
      </x:c>
      <x:c r="H2" s="43" t="str">
        <x:f>'General'!B6</x:f>
        <x:v>[Name / date]</x:v>
      </x:c>
      <x:c r="I2" s="43" t="str">
        <x:v>Reviewed by</x:v>
      </x:c>
      <x:c r="J2" s="43" t="str">
        <x:f>'General'!B7</x:f>
        <x:v>[Name / date]</x:v>
      </x:c>
      <x:c r="K2" s="1"/>
      <x:c r="L2" s="1"/>
    </x:row>
    <x:row r="3">
      <x:c r="A3" s="1" t="str">
        <x:v>WP reference</x:v>
      </x:c>
      <x:c r="B3" s="43" t="str">
        <x:v>N-04-GL</x:v>
      </x:c>
      <x:c r="C3" s="43" t="str">
        <x:v>Planning mat.</x:v>
      </x:c>
      <x:c r="D3" s="45" t="n">
        <x:f>'General'!B9</x:f>
        <x:v>0</x:v>
      </x:c>
      <x:c r="E3" s="45" t="str">
        <x:v>Tolerable error</x:v>
      </x:c>
      <x:c r="F3" s="45" t="n">
        <x:f>'General'!B10</x:f>
        <x:v>0</x:v>
      </x:c>
      <x:c r="G3" s="45" t="str">
        <x:v>SAD nominal</x:v>
      </x:c>
      <x:c r="H3" s="45" t="n">
        <x:f>'General'!B11</x:f>
        <x:v>0</x:v>
      </x:c>
      <x:c r="I3" s="43" t="str">
        <x:v>Status</x:v>
      </x:c>
      <x:c r="J3" s="8" t="str">
        <x:v>Not started</x:v>
      </x:c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44" customHeight="1">
      <x:c r="A5" s="46" t="str">
        <x:v>Objective (Valuation and completeness): Obtain evidence that liabilities for goods and services received by period end are completely recorded.</x:v>
      </x:c>
      <x:c r="B5" s="46"/>
      <x:c r="C5" s="46"/>
      <x:c r="D5" s="46"/>
      <x:c r="E5" s="46"/>
      <x:c r="F5" s="46"/>
      <x:c r="G5" s="46"/>
      <x:c r="H5" s="46"/>
      <x:c r="I5" s="46"/>
      <x:c r="J5" s="46"/>
      <x:c r="K5" s="46"/>
      <x:c r="L5" s="46"/>
    </x:row>
    <x:row r="6" ht="70" customHeight="1">
      <x:c r="A6" s="46" t="str">
        <x:v>Execution guidance: Review post-year-end cash disbursements, unpaid invoice files, unmatched receiving reports, supplier statements, legal correspondence and accrual reversals. Select significant and risk-based items, inspect underlying receipt/service dates, determine the correct accounting period, quantify unrecorded liabilities and extend testing where exceptions indicate population risk.</x:v>
      </x:c>
      <x:c r="B6" s="46"/>
      <x:c r="C6" s="46"/>
      <x:c r="D6" s="46"/>
      <x:c r="E6" s="46"/>
      <x:c r="F6" s="46"/>
      <x:c r="G6" s="46"/>
      <x:c r="H6" s="46"/>
      <x:c r="I6" s="46"/>
      <x:c r="J6" s="46"/>
      <x:c r="K6" s="46"/>
      <x:c r="L6" s="46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48" t="str">
        <x:v>Payment / item ref.</x:v>
      </x:c>
      <x:c r="B8" s="48" t="str">
        <x:v>Supplier</x:v>
      </x:c>
      <x:c r="C8" s="48" t="str">
        <x:v>Post-year payment date</x:v>
      </x:c>
      <x:c r="D8" s="48" t="str">
        <x:v>Invoice date</x:v>
      </x:c>
      <x:c r="E8" s="48" t="str">
        <x:v>Goods/service received</x:v>
      </x:c>
      <x:c r="F8" s="48" t="str">
        <x:v>Amount paid / due</x:v>
      </x:c>
      <x:c r="G8" s="48" t="str">
        <x:v>Recorded at year-end?</x:v>
      </x:c>
      <x:c r="H8" s="48" t="str">
        <x:v>Correct accounting period</x:v>
      </x:c>
      <x:c r="I8" s="48" t="str">
        <x:v>Unrecorded liability</x:v>
      </x:c>
      <x:c r="J8" s="48" t="str">
        <x:v>Supporting evidence</x:v>
      </x:c>
      <x:c r="K8" s="48" t="str">
        <x:v>Result</x:v>
      </x:c>
      <x:c r="L8" s="48" t="str">
        <x:v>Tickmarks</x:v>
      </x:c>
    </x:row>
    <x:row r="9">
      <x:c r="A9" s="53"/>
      <x:c r="B9" s="53"/>
      <x:c r="C9" s="66"/>
      <x:c r="D9" s="66"/>
      <x:c r="E9" s="66"/>
      <x:c r="F9" s="54"/>
      <x:c r="G9" s="53"/>
      <x:c r="H9" s="53"/>
      <x:c r="I9" s="55" t="n">
        <x:f>IF(A9="",0,IF(AND(G9="No",H9="Current year"),F9,0))</x:f>
        <x:v>0</x:v>
      </x:c>
      <x:c r="J9" s="53"/>
      <x:c r="K9" s="56" t="str">
        <x:f>IF(A9="","",IF(ABS(I9)&gt;'General'!$B$11,"Exception","Cleared"))</x:f>
      </x:c>
      <x:c r="L9" s="53"/>
    </x:row>
    <x:row r="10">
      <x:c r="A10" s="53"/>
      <x:c r="B10" s="53"/>
      <x:c r="C10" s="66"/>
      <x:c r="D10" s="66"/>
      <x:c r="E10" s="66"/>
      <x:c r="F10" s="54"/>
      <x:c r="G10" s="53"/>
      <x:c r="H10" s="53"/>
      <x:c r="I10" s="55" t="n">
        <x:f>IF(A10="",0,IF(AND(G10="No",H10="Current year"),F10,0))</x:f>
        <x:v>0</x:v>
      </x:c>
      <x:c r="J10" s="53"/>
      <x:c r="K10" s="56" t="str">
        <x:f>IF(A10="","",IF(ABS(I10)&gt;'General'!$B$11,"Exception","Cleared"))</x:f>
      </x:c>
      <x:c r="L10" s="53"/>
    </x:row>
    <x:row r="11">
      <x:c r="A11" s="53"/>
      <x:c r="B11" s="53"/>
      <x:c r="C11" s="66"/>
      <x:c r="D11" s="66"/>
      <x:c r="E11" s="66"/>
      <x:c r="F11" s="54"/>
      <x:c r="G11" s="53"/>
      <x:c r="H11" s="53"/>
      <x:c r="I11" s="55" t="n">
        <x:f>IF(A11="",0,IF(AND(G11="No",H11="Current year"),F11,0))</x:f>
        <x:v>0</x:v>
      </x:c>
      <x:c r="J11" s="53"/>
      <x:c r="K11" s="56" t="str">
        <x:f>IF(A11="","",IF(ABS(I11)&gt;'General'!$B$11,"Exception","Cleared"))</x:f>
      </x:c>
      <x:c r="L11" s="53"/>
    </x:row>
    <x:row r="12">
      <x:c r="A12" s="53"/>
      <x:c r="B12" s="53"/>
      <x:c r="C12" s="66"/>
      <x:c r="D12" s="66"/>
      <x:c r="E12" s="66"/>
      <x:c r="F12" s="54"/>
      <x:c r="G12" s="53"/>
      <x:c r="H12" s="53"/>
      <x:c r="I12" s="55" t="n">
        <x:f>IF(A12="",0,IF(AND(G12="No",H12="Current year"),F12,0))</x:f>
        <x:v>0</x:v>
      </x:c>
      <x:c r="J12" s="53"/>
      <x:c r="K12" s="56" t="str">
        <x:f>IF(A12="","",IF(ABS(I12)&gt;'General'!$B$11,"Exception","Cleared"))</x:f>
      </x:c>
      <x:c r="L12" s="53"/>
    </x:row>
    <x:row r="13">
      <x:c r="A13" s="53"/>
      <x:c r="B13" s="53"/>
      <x:c r="C13" s="66"/>
      <x:c r="D13" s="66"/>
      <x:c r="E13" s="66"/>
      <x:c r="F13" s="54"/>
      <x:c r="G13" s="53"/>
      <x:c r="H13" s="53"/>
      <x:c r="I13" s="55" t="n">
        <x:f>IF(A13="",0,IF(AND(G13="No",H13="Current year"),F13,0))</x:f>
        <x:v>0</x:v>
      </x:c>
      <x:c r="J13" s="53"/>
      <x:c r="K13" s="56" t="str">
        <x:f>IF(A13="","",IF(ABS(I13)&gt;'General'!$B$11,"Exception","Cleared"))</x:f>
      </x:c>
      <x:c r="L13" s="53"/>
    </x:row>
    <x:row r="14">
      <x:c r="A14" s="53"/>
      <x:c r="B14" s="53"/>
      <x:c r="C14" s="66"/>
      <x:c r="D14" s="66"/>
      <x:c r="E14" s="66"/>
      <x:c r="F14" s="54"/>
      <x:c r="G14" s="53"/>
      <x:c r="H14" s="53"/>
      <x:c r="I14" s="55" t="n">
        <x:f>IF(A14="",0,IF(AND(G14="No",H14="Current year"),F14,0))</x:f>
        <x:v>0</x:v>
      </x:c>
      <x:c r="J14" s="53"/>
      <x:c r="K14" s="56" t="str">
        <x:f>IF(A14="","",IF(ABS(I14)&gt;'General'!$B$11,"Exception","Cleared"))</x:f>
      </x:c>
      <x:c r="L14" s="53"/>
    </x:row>
    <x:row r="15">
      <x:c r="A15" s="53"/>
      <x:c r="B15" s="53"/>
      <x:c r="C15" s="66"/>
      <x:c r="D15" s="66"/>
      <x:c r="E15" s="66"/>
      <x:c r="F15" s="54"/>
      <x:c r="G15" s="53"/>
      <x:c r="H15" s="53"/>
      <x:c r="I15" s="55" t="n">
        <x:f>IF(A15="",0,IF(AND(G15="No",H15="Current year"),F15,0))</x:f>
        <x:v>0</x:v>
      </x:c>
      <x:c r="J15" s="53"/>
      <x:c r="K15" s="56" t="str">
        <x:f>IF(A15="","",IF(ABS(I15)&gt;'General'!$B$11,"Exception","Cleared"))</x:f>
      </x:c>
      <x:c r="L15" s="53"/>
    </x:row>
    <x:row r="16">
      <x:c r="A16" s="53"/>
      <x:c r="B16" s="53"/>
      <x:c r="C16" s="66"/>
      <x:c r="D16" s="66"/>
      <x:c r="E16" s="66"/>
      <x:c r="F16" s="54"/>
      <x:c r="G16" s="53"/>
      <x:c r="H16" s="53"/>
      <x:c r="I16" s="55" t="n">
        <x:f>IF(A16="",0,IF(AND(G16="No",H16="Current year"),F16,0))</x:f>
        <x:v>0</x:v>
      </x:c>
      <x:c r="J16" s="53"/>
      <x:c r="K16" s="56" t="str">
        <x:f>IF(A16="","",IF(ABS(I16)&gt;'General'!$B$11,"Exception","Cleared"))</x:f>
      </x:c>
      <x:c r="L16" s="53"/>
    </x:row>
    <x:row r="17">
      <x:c r="A17" s="53"/>
      <x:c r="B17" s="53"/>
      <x:c r="C17" s="66"/>
      <x:c r="D17" s="66"/>
      <x:c r="E17" s="66"/>
      <x:c r="F17" s="54"/>
      <x:c r="G17" s="53"/>
      <x:c r="H17" s="53"/>
      <x:c r="I17" s="55" t="n">
        <x:f>IF(A17="",0,IF(AND(G17="No",H17="Current year"),F17,0))</x:f>
        <x:v>0</x:v>
      </x:c>
      <x:c r="J17" s="53"/>
      <x:c r="K17" s="56" t="str">
        <x:f>IF(A17="","",IF(ABS(I17)&gt;'General'!$B$11,"Exception","Cleared"))</x:f>
      </x:c>
      <x:c r="L17" s="53"/>
    </x:row>
    <x:row r="18">
      <x:c r="A18" s="53"/>
      <x:c r="B18" s="53"/>
      <x:c r="C18" s="66"/>
      <x:c r="D18" s="66"/>
      <x:c r="E18" s="66"/>
      <x:c r="F18" s="54"/>
      <x:c r="G18" s="53"/>
      <x:c r="H18" s="53"/>
      <x:c r="I18" s="55" t="n">
        <x:f>IF(A18="",0,IF(AND(G18="No",H18="Current year"),F18,0))</x:f>
        <x:v>0</x:v>
      </x:c>
      <x:c r="J18" s="53"/>
      <x:c r="K18" s="56" t="str">
        <x:f>IF(A18="","",IF(ABS(I18)&gt;'General'!$B$11,"Exception","Cleared"))</x:f>
      </x:c>
      <x:c r="L18" s="53"/>
    </x:row>
    <x:row r="19">
      <x:c r="A19" s="53"/>
      <x:c r="B19" s="53"/>
      <x:c r="C19" s="66"/>
      <x:c r="D19" s="66"/>
      <x:c r="E19" s="66"/>
      <x:c r="F19" s="54"/>
      <x:c r="G19" s="53"/>
      <x:c r="H19" s="53"/>
      <x:c r="I19" s="55" t="n">
        <x:f>IF(A19="",0,IF(AND(G19="No",H19="Current year"),F19,0))</x:f>
        <x:v>0</x:v>
      </x:c>
      <x:c r="J19" s="53"/>
      <x:c r="K19" s="56" t="str">
        <x:f>IF(A19="","",IF(ABS(I19)&gt;'General'!$B$11,"Exception","Cleared"))</x:f>
      </x:c>
      <x:c r="L19" s="53"/>
    </x:row>
    <x:row r="20">
      <x:c r="A20" s="53"/>
      <x:c r="B20" s="53"/>
      <x:c r="C20" s="66"/>
      <x:c r="D20" s="66"/>
      <x:c r="E20" s="66"/>
      <x:c r="F20" s="54"/>
      <x:c r="G20" s="53"/>
      <x:c r="H20" s="53"/>
      <x:c r="I20" s="55" t="n">
        <x:f>IF(A20="",0,IF(AND(G20="No",H20="Current year"),F20,0))</x:f>
        <x:v>0</x:v>
      </x:c>
      <x:c r="J20" s="53"/>
      <x:c r="K20" s="56" t="str">
        <x:f>IF(A20="","",IF(ABS(I20)&gt;'General'!$B$11,"Exception","Cleared"))</x:f>
      </x:c>
      <x:c r="L20" s="53"/>
    </x:row>
    <x:row r="21">
      <x:c r="A21" s="53"/>
      <x:c r="B21" s="53"/>
      <x:c r="C21" s="66"/>
      <x:c r="D21" s="66"/>
      <x:c r="E21" s="66"/>
      <x:c r="F21" s="54"/>
      <x:c r="G21" s="53"/>
      <x:c r="H21" s="53"/>
      <x:c r="I21" s="55" t="n">
        <x:f>IF(A21="",0,IF(AND(G21="No",H21="Current year"),F21,0))</x:f>
        <x:v>0</x:v>
      </x:c>
      <x:c r="J21" s="53"/>
      <x:c r="K21" s="56" t="str">
        <x:f>IF(A21="","",IF(ABS(I21)&gt;'General'!$B$11,"Exception","Cleared"))</x:f>
      </x:c>
      <x:c r="L21" s="53"/>
    </x:row>
    <x:row r="22">
      <x:c r="A22" s="53"/>
      <x:c r="B22" s="53"/>
      <x:c r="C22" s="66"/>
      <x:c r="D22" s="66"/>
      <x:c r="E22" s="66"/>
      <x:c r="F22" s="54"/>
      <x:c r="G22" s="53"/>
      <x:c r="H22" s="53"/>
      <x:c r="I22" s="55" t="n">
        <x:f>IF(A22="",0,IF(AND(G22="No",H22="Current year"),F22,0))</x:f>
        <x:v>0</x:v>
      </x:c>
      <x:c r="J22" s="53"/>
      <x:c r="K22" s="56" t="str">
        <x:f>IF(A22="","",IF(ABS(I22)&gt;'General'!$B$11,"Exception","Cleared"))</x:f>
      </x:c>
      <x:c r="L22" s="53"/>
    </x:row>
    <x:row r="23">
      <x:c r="A23" s="53"/>
      <x:c r="B23" s="53"/>
      <x:c r="C23" s="66"/>
      <x:c r="D23" s="66"/>
      <x:c r="E23" s="66"/>
      <x:c r="F23" s="54"/>
      <x:c r="G23" s="53"/>
      <x:c r="H23" s="53"/>
      <x:c r="I23" s="55" t="n">
        <x:f>IF(A23="",0,IF(AND(G23="No",H23="Current year"),F23,0))</x:f>
        <x:v>0</x:v>
      </x:c>
      <x:c r="J23" s="53"/>
      <x:c r="K23" s="56" t="str">
        <x:f>IF(A23="","",IF(ABS(I23)&gt;'General'!$B$11,"Exception","Cleared"))</x:f>
      </x:c>
      <x:c r="L23" s="53"/>
    </x:row>
    <x:row r="24">
      <x:c r="A24" s="53"/>
      <x:c r="B24" s="53"/>
      <x:c r="C24" s="66"/>
      <x:c r="D24" s="66"/>
      <x:c r="E24" s="66"/>
      <x:c r="F24" s="54"/>
      <x:c r="G24" s="53"/>
      <x:c r="H24" s="53"/>
      <x:c r="I24" s="55" t="n">
        <x:f>IF(A24="",0,IF(AND(G24="No",H24="Current year"),F24,0))</x:f>
        <x:v>0</x:v>
      </x:c>
      <x:c r="J24" s="53"/>
      <x:c r="K24" s="56" t="str">
        <x:f>IF(A24="","",IF(ABS(I24)&gt;'General'!$B$11,"Exception","Cleared"))</x:f>
      </x:c>
      <x:c r="L24" s="53"/>
    </x:row>
    <x:row r="25">
      <x:c r="A25" s="53"/>
      <x:c r="B25" s="53"/>
      <x:c r="C25" s="66"/>
      <x:c r="D25" s="66"/>
      <x:c r="E25" s="66"/>
      <x:c r="F25" s="54"/>
      <x:c r="G25" s="53"/>
      <x:c r="H25" s="53"/>
      <x:c r="I25" s="55" t="n">
        <x:f>IF(A25="",0,IF(AND(G25="No",H25="Current year"),F25,0))</x:f>
        <x:v>0</x:v>
      </x:c>
      <x:c r="J25" s="53"/>
      <x:c r="K25" s="56" t="str">
        <x:f>IF(A25="","",IF(ABS(I25)&gt;'General'!$B$11,"Exception","Cleared"))</x:f>
      </x:c>
      <x:c r="L25" s="53"/>
    </x:row>
    <x:row r="26">
      <x:c r="A26" s="53"/>
      <x:c r="B26" s="53"/>
      <x:c r="C26" s="66"/>
      <x:c r="D26" s="66"/>
      <x:c r="E26" s="66"/>
      <x:c r="F26" s="54"/>
      <x:c r="G26" s="53"/>
      <x:c r="H26" s="53"/>
      <x:c r="I26" s="55" t="n">
        <x:f>IF(A26="",0,IF(AND(G26="No",H26="Current year"),F26,0))</x:f>
        <x:v>0</x:v>
      </x:c>
      <x:c r="J26" s="53"/>
      <x:c r="K26" s="56" t="str">
        <x:f>IF(A26="","",IF(ABS(I26)&gt;'General'!$B$11,"Exception","Cleared"))</x:f>
      </x:c>
      <x:c r="L26" s="53"/>
    </x:row>
    <x:row r="27">
      <x:c r="A27" s="53"/>
      <x:c r="B27" s="53"/>
      <x:c r="C27" s="66"/>
      <x:c r="D27" s="66"/>
      <x:c r="E27" s="66"/>
      <x:c r="F27" s="54"/>
      <x:c r="G27" s="53"/>
      <x:c r="H27" s="53"/>
      <x:c r="I27" s="55" t="n">
        <x:f>IF(A27="",0,IF(AND(G27="No",H27="Current year"),F27,0))</x:f>
        <x:v>0</x:v>
      </x:c>
      <x:c r="J27" s="53"/>
      <x:c r="K27" s="56" t="str">
        <x:f>IF(A27="","",IF(ABS(I27)&gt;'General'!$B$11,"Exception","Cleared"))</x:f>
      </x:c>
      <x:c r="L27" s="53"/>
    </x:row>
    <x:row r="28">
      <x:c r="A28" s="53"/>
      <x:c r="B28" s="53"/>
      <x:c r="C28" s="66"/>
      <x:c r="D28" s="66"/>
      <x:c r="E28" s="66"/>
      <x:c r="F28" s="54"/>
      <x:c r="G28" s="53"/>
      <x:c r="H28" s="53"/>
      <x:c r="I28" s="55" t="n">
        <x:f>IF(A28="",0,IF(AND(G28="No",H28="Current year"),F28,0))</x:f>
        <x:v>0</x:v>
      </x:c>
      <x:c r="J28" s="53"/>
      <x:c r="K28" s="56" t="str">
        <x:f>IF(A28="","",IF(ABS(I28)&gt;'General'!$B$11,"Exception","Cleared"))</x:f>
      </x:c>
      <x:c r="L28" s="53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61" t="str">
        <x:v>Conclusion – N-04-GL: [Summarise the procedure-specific population tested, coverage, exceptions, quantified misstatements, follow-up work and whether the stated assertions were achieved.]</x:v>
      </x:c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3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</x:sheetData>
  <x:mergeCells>
    <x:mergeCell ref="A1:L1"/>
    <x:mergeCell ref="A5:L5"/>
    <x:mergeCell ref="A6:L6"/>
    <x:mergeCell ref="A30:L30"/>
  </x:mergeCells>
  <x:conditionalFormatting sqref="K9:K28">
    <x:cfRule type="containsText" dxfId="6" priority="1" operator="containsText" text="Exception"/>
    <x:cfRule type="containsText" dxfId="7" priority="2" operator="containsText" text="Investigate"/>
  </x:conditionalFormatting>
  <x:dataValidations count="4">
    <x:dataValidation type="list" sqref="J3">
      <x:formula1>"Not started,In progress,Prepared,Reviewed"</x:formula1>
    </x:dataValidation>
    <x:dataValidation type="list" sqref="G9:G28">
      <x:formula1>"Yes,No,Partially"</x:formula1>
    </x:dataValidation>
    <x:dataValidation type="list" sqref="H9:H28">
      <x:formula1>"Current year,Next year,Prior year"</x:formula1>
    </x:dataValidation>
    <x:dataValidation type="list" sqref="L9:L28">
      <x:formula1>Tickmarks!$A$4:$A$21</x:formula1>
    </x:dataValidation>
  </x:dataValidations>
  <x:pageMargins left="0.7" right="0.7" top="0.75" bottom="0.75" header="0.3" footer="0.3"/>
</x:worksheet>
</file>