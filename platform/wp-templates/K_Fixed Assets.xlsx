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5044898c4742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31cea39ac52d44e0"/>
    <x:sheet xmlns:r="http://schemas.openxmlformats.org/officeDocument/2006/relationships" name="Tickmarks" sheetId="2" r:id="Rb888ed25d497409d"/>
    <x:sheet xmlns:r="http://schemas.openxmlformats.org/officeDocument/2006/relationships" name="Help" sheetId="3" r:id="R153f2a5119fb47c7"/>
    <x:sheet xmlns:r="http://schemas.openxmlformats.org/officeDocument/2006/relationships" name="K-01 Agreement of fixed-asset s" sheetId="4" r:id="R6aa5b43afd6a43fe"/>
    <x:sheet xmlns:r="http://schemas.openxmlformats.org/officeDocument/2006/relationships" name="K-02 Additions and disposals" sheetId="5" r:id="R26031736f39a4f7e"/>
    <x:sheet xmlns:r="http://schemas.openxmlformats.org/officeDocument/2006/relationships" name="K-04 Depreciation, depletion an" sheetId="6" r:id="R42537f2f34374759"/>
    <x:sheet xmlns:r="http://schemas.openxmlformats.org/officeDocument/2006/relationships" name="K-05 Impairments of property, p" sheetId="7" r:id="Recb2fbce8f4d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;[Red](#,##0);-"/>
  </x:numFmts>
  <x:fonts count="6">
    <x:font>
      <x:sz val="11"/>
      <x:name val="Carlito"/>
    </x:font>
    <x:font>
      <x:sz val="10"/>
      <x:color rgb="FF222222"/>
      <x:name val="Arial"/>
    </x:font>
    <x:font>
      <x:b/>
      <x:sz val="12"/>
      <x:color rgb="FF000000"/>
      <x:name val="Arial"/>
    </x:font>
    <x:font>
      <x:b/>
      <x:sz val="10"/>
      <x:color rgb="FF000000"/>
      <x:name val="Arial"/>
    </x:font>
    <x:font>
      <x:b/>
      <x:sz val="10"/>
      <x:color rgb="FFC00000"/>
      <x:name val="Arial"/>
    </x:font>
    <x:font>
      <x:b/>
      <x:sz val="10"/>
      <x:color rgb="FF22222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AE9F8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</x:fills>
  <x:borders count="14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200" fontId="1" fillId="3" borderId="1" xfId="0" applyNumberFormat="1" applyFont="1" applyFill="1" applyBorder="1"/>
    <x:xf numFmtId="201" fontId="1" fillId="3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  <x:xf numFmtId="0" fontId="1" fillId="0" borderId="10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0" borderId="8" xfId="0" applyNumberFormat="1" applyFont="1" applyFill="1" applyBorder="1" applyAlignment="1">
      <x:alignment vertical="top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0" fontId="1" fillId="0" borderId="1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/>
    <x:xf numFmtId="0" fontId="3" fillId="2" borderId="2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/>
    <x:xf numFmtId="201" fontId="1" fillId="3" borderId="2" xfId="0" applyNumberFormat="1" applyFont="1" applyFill="1" applyBorder="1"/>
    <x:xf numFmtId="201" fontId="1" fillId="4" borderId="2" xfId="0" applyNumberFormat="1" applyFont="1" applyFill="1" applyBorder="1"/>
    <x:xf numFmtId="0" fontId="1" fillId="4" borderId="2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201" fontId="1" fillId="3" borderId="2" xfId="0" applyNumberFormat="1" applyFont="1" applyFill="1" applyBorder="1" applyAlignment="1">
      <x:alignment wrapText="1"/>
    </x:xf>
    <x:xf numFmtId="201" fontId="1" fillId="4" borderId="2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3" xfId="0" applyNumberFormat="1" applyFont="1" applyFill="1" applyBorder="1"/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3" xfId="0" applyNumberFormat="1" applyFont="1" applyFill="1" applyBorder="1" applyAlignment="1">
      <x:alignment wrapText="1"/>
    </x:xf>
    <x:xf numFmtId="200" fontId="1" fillId="3" borderId="0" xfId="0" applyNumberFormat="1" applyFont="1" applyFill="1" applyBorder="1"/>
    <x:xf numFmtId="200" fontId="1" fillId="3" borderId="2" xfId="0" applyNumberFormat="1" applyFont="1" applyFill="1" applyBorder="1"/>
    <x:xf numFmtId="200" fontId="1" fillId="3" borderId="2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5f1b9171c4fe7" /><Relationship Type="http://schemas.openxmlformats.org/officeDocument/2006/relationships/theme" Target="/xl/theme/theme1.xml" Id="R7339e9cde01347c0" /><Relationship Type="http://schemas.openxmlformats.org/officeDocument/2006/relationships/sharedStrings" Target="/xl/sharedStrings.xml" Id="R752708c487a04adc" /><Relationship Type="http://schemas.openxmlformats.org/officeDocument/2006/relationships/worksheet" Target="/xl/worksheets/sheet1.xml" Id="R31cea39ac52d44e0" /><Relationship Type="http://schemas.openxmlformats.org/officeDocument/2006/relationships/worksheet" Target="/xl/worksheets/sheet2.xml" Id="Rb888ed25d497409d" /><Relationship Type="http://schemas.openxmlformats.org/officeDocument/2006/relationships/worksheet" Target="/xl/worksheets/sheet3.xml" Id="R153f2a5119fb47c7" /><Relationship Type="http://schemas.openxmlformats.org/officeDocument/2006/relationships/worksheet" Target="/xl/worksheets/sheet4.xml" Id="R6aa5b43afd6a43fe" /><Relationship Type="http://schemas.openxmlformats.org/officeDocument/2006/relationships/worksheet" Target="/xl/worksheets/sheet5.xml" Id="R26031736f39a4f7e" /><Relationship Type="http://schemas.openxmlformats.org/officeDocument/2006/relationships/worksheet" Target="/xl/worksheets/sheet6.xml" Id="R42537f2f34374759" /><Relationship Type="http://schemas.openxmlformats.org/officeDocument/2006/relationships/worksheet" Target="/xl/worksheets/sheet7.xml" Id="Recb2fbce8f4d49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" hidden="0" customWidth="1"/>
    <x:col min="4" max="4" width="12" hidden="0" customWidth="1"/>
    <x:col min="5" max="5" width="30" hidden="0" customWidth="1"/>
    <x:col min="6" max="6" width="24" hidden="0" customWidth="1"/>
    <x:col min="7" max="7" width="44" hidden="0" customWidth="1"/>
  </x:cols>
  <x:sheetData>
    <x:row r="1" ht="24" customHeight="1">
      <x:c r="A1" s="3" t="str">
        <x:v>K - Fixed Assets | General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7" t="str">
        <x:v>Entity name</x:v>
      </x:c>
      <x:c r="B3" s="9" t="str">
        <x:v>[Enter entity name]</x:v>
      </x:c>
      <x:c r="C3" s="1"/>
      <x:c r="D3" s="7" t="str">
        <x:v>PSP index</x:v>
      </x:c>
      <x:c r="E3" s="7"/>
      <x:c r="F3" s="7"/>
      <x:c r="G3" s="7"/>
      <x:c r="H3" s="7"/>
      <x:c r="I3" s="7"/>
      <x:c r="J3" s="7"/>
    </x:row>
    <x:row r="4">
      <x:c r="A4" s="7" t="str">
        <x:v>Period end</x:v>
      </x:c>
      <x:c r="B4" s="10"/>
      <x:c r="C4" s="1"/>
      <x:c r="D4" s="13" t="str">
        <x:v>K-01-GL</x:v>
      </x:c>
      <x:c r="E4" s="13" t="str">
        <x:v>Agreement of fixed-asset subledgers with general ledger</x:v>
      </x:c>
      <x:c r="F4" s="13" t="str">
        <x:v>Existence, completeness, valuation and presentation</x:v>
      </x:c>
      <x:c r="G4" s="13" t="str">
        <x:v>Reconcile gross cost, accumulated depreciation/impairment and net book value by asset class to the general ledger and financial statements.</x:v>
      </x:c>
      <x:c r="H4" s="13"/>
      <x:c r="I4" s="13"/>
      <x:c r="J4" s="13"/>
    </x:row>
    <x:row r="5">
      <x:c r="A5" s="7" t="str">
        <x:v>Currency</x:v>
      </x:c>
      <x:c r="B5" s="9" t="str">
        <x:v>GBP</x:v>
      </x:c>
      <x:c r="C5" s="1"/>
      <x:c r="D5" s="13" t="str">
        <x:v>K-02-GL</x:v>
      </x:c>
      <x:c r="E5" s="13" t="str">
        <x:v>Additions and disposals</x:v>
      </x:c>
      <x:c r="F5" s="13" t="str">
        <x:v>Existence, completeness, valuation, rights and obligations, presentation</x:v>
      </x:c>
      <x:c r="G5" s="13" t="str">
        <x:v>Determine whether additions are genuine, owned, capital in nature and correctly measured, and whether disposals and related gains/losses are complete and accurate.</x:v>
      </x:c>
      <x:c r="H5" s="13"/>
      <x:c r="I5" s="13"/>
      <x:c r="J5" s="13"/>
    </x:row>
    <x:row r="6">
      <x:c r="A6" s="7" t="str">
        <x:v>Prepared by</x:v>
      </x:c>
      <x:c r="B6" s="9" t="str">
        <x:v>[Name / date]</x:v>
      </x:c>
      <x:c r="C6" s="1"/>
      <x:c r="D6" s="13" t="str">
        <x:v>K-04-GL</x:v>
      </x:c>
      <x:c r="E6" s="13" t="str">
        <x:v>Depreciation, depletion and amortization</x:v>
      </x:c>
      <x:c r="F6" s="13" t="str">
        <x:v>Valuation, occurrence and presentation</x:v>
      </x:c>
      <x:c r="G6" s="13" t="str">
        <x:v>Determine whether depreciation/amortization methods, useful lives, residual values and charges are reasonable, consistent and accurately applied.</x:v>
      </x:c>
      <x:c r="H6" s="13"/>
      <x:c r="I6" s="13"/>
      <x:c r="J6" s="13"/>
    </x:row>
    <x:row r="7">
      <x:c r="A7" s="7" t="str">
        <x:v>Reviewed by</x:v>
      </x:c>
      <x:c r="B7" s="9" t="str">
        <x:v>[Name / date]</x:v>
      </x:c>
      <x:c r="C7" s="1"/>
      <x:c r="D7" s="13" t="str">
        <x:v>K-05-GL</x:v>
      </x:c>
      <x:c r="E7" s="13" t="str">
        <x:v>Impairments of property, plant and equipment</x:v>
      </x:c>
      <x:c r="F7" s="13" t="str">
        <x:v>Valuation</x:v>
      </x:c>
      <x:c r="G7" s="13" t="str">
        <x:v>Determine whether impairment indicators have been identified and whether any impairment charge or reversal is appropriately measured and recorded.</x:v>
      </x:c>
      <x:c r="H7" s="13"/>
      <x:c r="I7" s="13"/>
      <x:c r="J7" s="13"/>
    </x:row>
    <x:row r="8">
      <x:c r="A8" s="7" t="str">
        <x:v>Working paper reference</x:v>
      </x:c>
      <x:c r="B8" s="9" t="str">
        <x:v>K</x:v>
      </x:c>
      <x:c r="C8" s="1"/>
      <x:c r="D8" s="1"/>
      <x:c r="E8" s="1"/>
      <x:c r="F8" s="1"/>
      <x:c r="G8" s="1"/>
      <x:c r="H8" s="1"/>
      <x:c r="I8" s="1"/>
      <x:c r="J8" s="1"/>
    </x:row>
    <x:row r="9">
      <x:c r="A9" s="7" t="str">
        <x:v>Planning materiality</x:v>
      </x:c>
      <x:c r="B9" s="11"/>
      <x:c r="C9" s="1"/>
      <x:c r="D9" s="1"/>
      <x:c r="E9" s="1"/>
      <x:c r="F9" s="1"/>
      <x:c r="G9" s="1"/>
      <x:c r="H9" s="1"/>
      <x:c r="I9" s="1"/>
      <x:c r="J9" s="1"/>
    </x:row>
    <x:row r="10">
      <x:c r="A10" s="7" t="str">
        <x:v>Tolerable error</x:v>
      </x:c>
      <x:c r="B10" s="11"/>
      <x:c r="C10" s="1"/>
      <x:c r="D10" s="1"/>
      <x:c r="E10" s="1"/>
      <x:c r="F10" s="1"/>
      <x:c r="G10" s="1"/>
      <x:c r="H10" s="1"/>
      <x:c r="I10" s="1"/>
      <x:c r="J10" s="1"/>
    </x:row>
    <x:row r="11">
      <x:c r="A11" s="7" t="str">
        <x:v>SAD nominal amount</x:v>
      </x:c>
      <x:c r="B11" s="11"/>
      <x:c r="C11" s="1"/>
      <x:c r="D11" s="1"/>
      <x:c r="E11" s="1"/>
      <x:c r="F11" s="1"/>
      <x:c r="G11" s="1"/>
      <x:c r="H11" s="1"/>
      <x:c r="I11" s="1"/>
      <x:c r="J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</x:sheetData>
  <x:mergeCells>
    <x:mergeCell ref="A1:J1"/>
    <x:mergeCell ref="D3:J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42" hidden="0" customWidth="1"/>
    <x:col min="3" max="3" width="42" hidden="0" customWidth="1"/>
    <x:col min="4" max="4" width="18" hidden="0" customWidth="1"/>
    <x:col min="5" max="5" width="18" hidden="0" customWidth="1"/>
    <x:col min="6" max="6" width="30" hidden="0" customWidth="1"/>
  </x:cols>
  <x:sheetData>
    <x:row r="1" ht="24" customHeight="1">
      <x:c r="A1" s="3" t="str">
        <x:v>K - Fixed Assets | Tickmarks</x:v>
      </x:c>
      <x:c r="B1" s="3"/>
      <x:c r="C1" s="3"/>
      <x:c r="D1" s="3"/>
      <x:c r="E1" s="3"/>
      <x:c r="F1" s="3"/>
    </x:row>
    <x:row r="2">
      <x:c r="A2" s="1"/>
      <x:c r="B2" s="1"/>
      <x:c r="C2" s="1"/>
      <x:c r="D2" s="1"/>
      <x:c r="E2" s="1"/>
      <x:c r="F2" s="1"/>
    </x:row>
    <x:row r="3">
      <x:c r="A3" s="7" t="str">
        <x:v>Code</x:v>
      </x:c>
      <x:c r="B3" s="7" t="str">
        <x:v>Description</x:v>
      </x:c>
      <x:c r="C3" s="7" t="str">
        <x:v>Typical evidence/use</x:v>
      </x:c>
      <x:c r="D3" s="7" t="str">
        <x:v>Category</x:v>
      </x:c>
      <x:c r="E3" s="7" t="str">
        <x:v>Attribution required</x:v>
      </x:c>
      <x:c r="F3" s="7" t="str">
        <x:v>Notes</x:v>
      </x:c>
    </x:row>
    <x:row r="4">
      <x:c r="A4" s="16" t="str">
        <x:v>TB</x:v>
      </x:c>
      <x:c r="B4" s="15" t="str">
        <x:v>Agreed to trial balance</x:v>
      </x:c>
      <x:c r="C4" s="15" t="str">
        <x:v>Final trial balance</x:v>
      </x:c>
      <x:c r="D4" s="15" t="str">
        <x:v>Audit evidence</x:v>
      </x:c>
      <x:c r="E4" s="15" t="str">
        <x:v>Yes</x:v>
      </x:c>
      <x:c r="F4" s="15" t="str"/>
    </x:row>
    <x:row r="5">
      <x:c r="A5" s="16" t="str">
        <x:v>GL</x:v>
      </x:c>
      <x:c r="B5" s="15" t="str">
        <x:v>Agreed to general ledger</x:v>
      </x:c>
      <x:c r="C5" s="15" t="str">
        <x:v>General ledger/control account</x:v>
      </x:c>
      <x:c r="D5" s="15" t="str">
        <x:v>Audit evidence</x:v>
      </x:c>
      <x:c r="E5" s="15" t="str">
        <x:v>Yes</x:v>
      </x:c>
      <x:c r="F5" s="15" t="str"/>
    </x:row>
    <x:row r="6">
      <x:c r="A6" s="16" t="str">
        <x:v>SL</x:v>
      </x:c>
      <x:c r="B6" s="15" t="str">
        <x:v>Agreed to subledger</x:v>
      </x:c>
      <x:c r="C6" s="15" t="str">
        <x:v>Relevant subledger; specify source</x:v>
      </x:c>
      <x:c r="D6" s="15" t="str">
        <x:v>Audit evidence</x:v>
      </x:c>
      <x:c r="E6" s="15" t="str">
        <x:v>Yes</x:v>
      </x:c>
      <x:c r="F6" s="15" t="str"/>
    </x:row>
    <x:row r="7">
      <x:c r="A7" s="16" t="str">
        <x:v>PY</x:v>
      </x:c>
      <x:c r="B7" s="15" t="str">
        <x:v>Agreed to prior-year audited financial statements/working papers</x:v>
      </x:c>
      <x:c r="C7" s="15" t="str">
        <x:v>Prior-year signed accounts or archive</x:v>
      </x:c>
      <x:c r="D7" s="15" t="str">
        <x:v>Audit evidence</x:v>
      </x:c>
      <x:c r="E7" s="15" t="str">
        <x:v>Yes</x:v>
      </x:c>
      <x:c r="F7" s="15" t="str"/>
    </x:row>
    <x:row r="8">
      <x:c r="A8" s="16" t="str">
        <x:v>FS</x:v>
      </x:c>
      <x:c r="B8" s="15" t="str">
        <x:v>Agreed to current-year financial statements</x:v>
      </x:c>
      <x:c r="C8" s="15" t="str">
        <x:v>Final financial statements</x:v>
      </x:c>
      <x:c r="D8" s="15" t="str">
        <x:v>Audit evidence</x:v>
      </x:c>
      <x:c r="E8" s="15" t="str">
        <x:v>Yes</x:v>
      </x:c>
      <x:c r="F8" s="15" t="str"/>
    </x:row>
    <x:row r="9">
      <x:c r="A9" s="16" t="str">
        <x:v>m</x:v>
      </x:c>
      <x:c r="B9" s="15" t="str">
        <x:v>Movement or amount below testing scope</x:v>
      </x:c>
      <x:c r="C9" s="15" t="str">
        <x:v>Compare with documented scope/SAD</x:v>
      </x:c>
      <x:c r="D9" s="15" t="str">
        <x:v>Audit evidence</x:v>
      </x:c>
      <x:c r="E9" s="15" t="str">
        <x:v>Yes</x:v>
      </x:c>
      <x:c r="F9" s="15" t="str"/>
    </x:row>
    <x:row r="10">
      <x:c r="A10" s="16" t="str">
        <x:v>@</x:v>
      </x:c>
      <x:c r="B10" s="15" t="str">
        <x:v>Correctly calculated</x:v>
      </x:c>
      <x:c r="C10" s="15" t="str">
        <x:v>Independent recalculation</x:v>
      </x:c>
      <x:c r="D10" s="15" t="str">
        <x:v>Audit evidence</x:v>
      </x:c>
      <x:c r="E10" s="15" t="str">
        <x:v>Yes</x:v>
      </x:c>
      <x:c r="F10" s="15" t="str"/>
    </x:row>
    <x:row r="11">
      <x:c r="A11" s="16" t="str">
        <x:v>^</x:v>
      </x:c>
      <x:c r="B11" s="15" t="str">
        <x:v>Footed correctly</x:v>
      </x:c>
      <x:c r="C11" s="15" t="str">
        <x:v>Column total checked</x:v>
      </x:c>
      <x:c r="D11" s="15" t="str">
        <x:v>Audit evidence</x:v>
      </x:c>
      <x:c r="E11" s="15" t="str">
        <x:v>Yes</x:v>
      </x:c>
      <x:c r="F11" s="15" t="str"/>
    </x:row>
    <x:row r="12">
      <x:c r="A12" s="16" t="str">
        <x:v>&lt;</x:v>
      </x:c>
      <x:c r="B12" s="15" t="str">
        <x:v>Cross-footed correctly</x:v>
      </x:c>
      <x:c r="C12" s="15" t="str">
        <x:v>Row total checked</x:v>
      </x:c>
      <x:c r="D12" s="15" t="str">
        <x:v>Audit evidence</x:v>
      </x:c>
      <x:c r="E12" s="15" t="str">
        <x:v>Yes</x:v>
      </x:c>
      <x:c r="F12" s="15" t="str"/>
    </x:row>
    <x:row r="13">
      <x:c r="A13" s="16" t="str">
        <x:v>√1</x:v>
      </x:c>
      <x:c r="B13" s="15" t="str">
        <x:v>Agreed to supporting documentation – type 1</x:v>
      </x:c>
      <x:c r="C13" s="15" t="str">
        <x:v>Identify document in evidence reference</x:v>
      </x:c>
      <x:c r="D13" s="15" t="str">
        <x:v>Audit evidence</x:v>
      </x:c>
      <x:c r="E13" s="15" t="str">
        <x:v>Yes</x:v>
      </x:c>
      <x:c r="F13" s="15" t="str"/>
    </x:row>
    <x:row r="14">
      <x:c r="A14" s="16" t="str">
        <x:v>√2</x:v>
      </x:c>
      <x:c r="B14" s="15" t="str">
        <x:v>Agreed to supporting documentation – type 2</x:v>
      </x:c>
      <x:c r="C14" s="15" t="str">
        <x:v>Identify document in evidence reference</x:v>
      </x:c>
      <x:c r="D14" s="15" t="str">
        <x:v>Audit evidence</x:v>
      </x:c>
      <x:c r="E14" s="15" t="str">
        <x:v>Yes</x:v>
      </x:c>
      <x:c r="F14" s="15" t="str"/>
    </x:row>
    <x:row r="15">
      <x:c r="A15" s="16" t="str">
        <x:v>√3</x:v>
      </x:c>
      <x:c r="B15" s="15" t="str">
        <x:v>Agreed to supporting documentation – type 3</x:v>
      </x:c>
      <x:c r="C15" s="15" t="str">
        <x:v>Identify document in evidence reference</x:v>
      </x:c>
      <x:c r="D15" s="15" t="str">
        <x:v>Audit evidence</x:v>
      </x:c>
      <x:c r="E15" s="15" t="str">
        <x:v>Yes</x:v>
      </x:c>
      <x:c r="F15" s="15" t="str"/>
    </x:row>
    <x:row r="16">
      <x:c r="A16" s="16" t="str">
        <x:v>N/A</x:v>
      </x:c>
      <x:c r="B16" s="15" t="str">
        <x:v>Not applicable</x:v>
      </x:c>
      <x:c r="C16" s="15" t="str">
        <x:v>Explain why</x:v>
      </x:c>
      <x:c r="D16" s="15" t="str">
        <x:v>Audit evidence</x:v>
      </x:c>
      <x:c r="E16" s="15" t="str">
        <x:v>Yes</x:v>
      </x:c>
      <x:c r="F16" s="15" t="str"/>
    </x:row>
    <x:row r="17">
      <x:c r="A17" s="16" t="str">
        <x:v>F</x:v>
      </x:c>
      <x:c r="B17" s="15" t="str">
        <x:v>Footed</x:v>
      </x:c>
      <x:c r="C17" s="15" t="str">
        <x:v>Schedule arithmetic checked</x:v>
      </x:c>
      <x:c r="D17" s="15" t="str">
        <x:v>Audit evidence</x:v>
      </x:c>
      <x:c r="E17" s="15" t="str">
        <x:v>Yes</x:v>
      </x:c>
      <x:c r="F17" s="15" t="str"/>
    </x:row>
    <x:row r="18">
      <x:c r="A18" s="16" t="str">
        <x:v>CF</x:v>
      </x:c>
      <x:c r="B18" s="15" t="str">
        <x:v>Cross-footed</x:v>
      </x:c>
      <x:c r="C18" s="15" t="str">
        <x:v>Schedule cross-casting checked</x:v>
      </x:c>
      <x:c r="D18" s="15" t="str">
        <x:v>Audit evidence</x:v>
      </x:c>
      <x:c r="E18" s="15" t="str">
        <x:v>Yes</x:v>
      </x:c>
      <x:c r="F18" s="15" t="str"/>
    </x:row>
    <x:row r="19">
      <x:c r="A19" s="16" t="str">
        <x:v>C</x:v>
      </x:c>
      <x:c r="B19" s="15" t="str">
        <x:v>Calculation checked and agreed</x:v>
      </x:c>
      <x:c r="C19" s="15" t="str">
        <x:v>Independent cast/recalculation</x:v>
      </x:c>
      <x:c r="D19" s="15" t="str">
        <x:v>Audit evidence</x:v>
      </x:c>
      <x:c r="E19" s="15" t="str">
        <x:v>Yes</x:v>
      </x:c>
      <x:c r="F19" s="15" t="str"/>
    </x:row>
    <x:row r="20">
      <x:c r="A20" s="16" t="str">
        <x:v>R</x:v>
      </x:c>
      <x:c r="B20" s="15" t="str">
        <x:v>Agreed to report</x:v>
      </x:c>
      <x:c r="C20" s="15" t="str">
        <x:v>Supporting report/system output</x:v>
      </x:c>
      <x:c r="D20" s="15" t="str">
        <x:v>Audit evidence</x:v>
      </x:c>
      <x:c r="E20" s="15" t="str">
        <x:v>Yes</x:v>
      </x:c>
      <x:c r="F20" s="15" t="str"/>
    </x:row>
    <x:row r="21">
      <x:c r="A21" s="16" t="str">
        <x:v>CONF</x:v>
      </x:c>
      <x:c r="B21" s="15" t="str">
        <x:v>Agreed to confirmation</x:v>
      </x:c>
      <x:c r="C21" s="15" t="str">
        <x:v>External confirmation controlled by auditor</x:v>
      </x:c>
      <x:c r="D21" s="15" t="str">
        <x:v>Audit evidence</x:v>
      </x:c>
      <x:c r="E21" s="15" t="str">
        <x:v>Yes</x:v>
      </x:c>
      <x:c r="F21" s="15" t="str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</x:cols>
  <x:sheetData>
    <x:row r="1" ht="24" customHeight="1">
      <x:c r="A1" s="3" t="str">
        <x:v>K - Fixed Assets | Help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7" t="str">
        <x:v>How to use this workbook</x:v>
      </x:c>
      <x:c r="B3" s="7"/>
      <x:c r="C3" s="7"/>
      <x:c r="D3" s="7"/>
      <x:c r="E3" s="7"/>
      <x:c r="F3" s="7"/>
      <x:c r="G3" s="7"/>
      <x:c r="H3" s="7"/>
      <x:c r="I3" s="7"/>
      <x:c r="J3" s="7"/>
    </x:row>
    <x:row r="4">
      <x:c r="A4" s="34" t="str">
        <x:v>Complete General once. Tailor each PSP to the engagement’s assessed risks. Enter evidence only in white cells; light-grey cells are formula-controlled. Select tickmarks from the dropdown, cross-reference evidence, resolve exceptions, quantify misstatements against SAD/tolerable error, and complete the conclusion and review status.</x:v>
      </x:c>
      <x:c r="B4" s="35"/>
      <x:c r="C4" s="35"/>
      <x:c r="D4" s="35"/>
      <x:c r="E4" s="35"/>
      <x:c r="F4" s="35"/>
      <x:c r="G4" s="35"/>
      <x:c r="H4" s="35"/>
      <x:c r="I4" s="35"/>
      <x:c r="J4" s="36"/>
    </x:row>
    <x:row r="5">
      <x:c r="A5" s="37"/>
      <x:c r="B5" s="38"/>
      <x:c r="C5" s="38"/>
      <x:c r="D5" s="38"/>
      <x:c r="E5" s="38"/>
      <x:c r="F5" s="38"/>
      <x:c r="G5" s="38"/>
      <x:c r="H5" s="38"/>
      <x:c r="I5" s="38"/>
      <x:c r="J5" s="39"/>
    </x:row>
    <x:row r="6">
      <x:c r="A6" s="37"/>
      <x:c r="B6" s="38"/>
      <x:c r="C6" s="38"/>
      <x:c r="D6" s="38"/>
      <x:c r="E6" s="38"/>
      <x:c r="F6" s="38"/>
      <x:c r="G6" s="38"/>
      <x:c r="H6" s="38"/>
      <x:c r="I6" s="38"/>
      <x:c r="J6" s="39"/>
    </x:row>
    <x:row r="7">
      <x:c r="A7" s="37"/>
      <x:c r="B7" s="38"/>
      <x:c r="C7" s="38"/>
      <x:c r="D7" s="38"/>
      <x:c r="E7" s="38"/>
      <x:c r="F7" s="38"/>
      <x:c r="G7" s="38"/>
      <x:c r="H7" s="38"/>
      <x:c r="I7" s="38"/>
      <x:c r="J7" s="39"/>
    </x:row>
    <x:row r="8">
      <x:c r="A8" s="40"/>
      <x:c r="B8" s="41"/>
      <x:c r="C8" s="41"/>
      <x:c r="D8" s="41"/>
      <x:c r="E8" s="41"/>
      <x:c r="F8" s="41"/>
      <x:c r="G8" s="41"/>
      <x:c r="H8" s="41"/>
      <x:c r="I8" s="41"/>
      <x:c r="J8" s="42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>
      <x:c r="A10" s="7" t="str">
        <x:v>Source basis</x:v>
      </x:c>
      <x:c r="B10" s="7"/>
      <x:c r="C10" s="7"/>
      <x:c r="D10" s="7"/>
      <x:c r="E10" s="7"/>
      <x:c r="F10" s="7"/>
      <x:c r="G10" s="7"/>
      <x:c r="H10" s="7"/>
      <x:c r="I10" s="7"/>
      <x:c r="J10" s="7"/>
    </x:row>
    <x:row r="11">
      <x:c r="A11" s="34" t="str">
        <x:v>Cycle objectives and execution guidance were developed from PAA1_Slides Immos [French PSPs]_revu CAP 06.09.13.pptx. The source presentation is reference material, not an instruction to the user; this workbook remains a template and must be tailored to the applicable reporting framework, engagement risks and approved audit methodology.</x:v>
      </x:c>
      <x:c r="B11" s="35"/>
      <x:c r="C11" s="35"/>
      <x:c r="D11" s="35"/>
      <x:c r="E11" s="35"/>
      <x:c r="F11" s="35"/>
      <x:c r="G11" s="35"/>
      <x:c r="H11" s="35"/>
      <x:c r="I11" s="35"/>
      <x:c r="J11" s="36"/>
    </x:row>
    <x:row r="12">
      <x:c r="A12" s="37"/>
      <x:c r="B12" s="38"/>
      <x:c r="C12" s="38"/>
      <x:c r="D12" s="38"/>
      <x:c r="E12" s="38"/>
      <x:c r="F12" s="38"/>
      <x:c r="G12" s="38"/>
      <x:c r="H12" s="38"/>
      <x:c r="I12" s="38"/>
      <x:c r="J12" s="39"/>
    </x:row>
    <x:row r="13">
      <x:c r="A13" s="37"/>
      <x:c r="B13" s="38"/>
      <x:c r="C13" s="38"/>
      <x:c r="D13" s="38"/>
      <x:c r="E13" s="38"/>
      <x:c r="F13" s="38"/>
      <x:c r="G13" s="38"/>
      <x:c r="H13" s="38"/>
      <x:c r="I13" s="38"/>
      <x:c r="J13" s="39"/>
    </x:row>
    <x:row r="14">
      <x:c r="A14" s="37"/>
      <x:c r="B14" s="38"/>
      <x:c r="C14" s="38"/>
      <x:c r="D14" s="38"/>
      <x:c r="E14" s="38"/>
      <x:c r="F14" s="38"/>
      <x:c r="G14" s="38"/>
      <x:c r="H14" s="38"/>
      <x:c r="I14" s="38"/>
      <x:c r="J14" s="39"/>
    </x:row>
    <x:row r="15">
      <x:c r="A15" s="40"/>
      <x:c r="B15" s="41"/>
      <x:c r="C15" s="41"/>
      <x:c r="D15" s="41"/>
      <x:c r="E15" s="41"/>
      <x:c r="F15" s="41"/>
      <x:c r="G15" s="41"/>
      <x:c r="H15" s="41"/>
      <x:c r="I15" s="41"/>
      <x:c r="J15" s="42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</x:sheetData>
  <x:mergeCells>
    <x:mergeCell ref="A1:J1"/>
    <x:mergeCell ref="A3:J3"/>
    <x:mergeCell ref="A4:J8"/>
    <x:mergeCell ref="A10:J10"/>
    <x:mergeCell ref="A11:J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5" max="15" width="12" hidden="0" customWidth="1"/>
  </x:cols>
  <x:sheetData>
    <x:row r="1" ht="24" customHeight="1">
      <x:c r="A1" s="3" t="str">
        <x:v>K - Fixed Assets | K-01-GL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  <x:c r="M2" s="1"/>
      <x:c r="N2" s="1"/>
      <x:c r="O2" s="1"/>
    </x:row>
    <x:row r="3">
      <x:c r="A3" s="1" t="str">
        <x:v>WP reference</x:v>
      </x:c>
      <x:c r="B3" s="43" t="str">
        <x:v>K-01-GL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44" customHeight="1">
      <x:c r="A5" s="46" t="str">
        <x:v>Objective (Existence, completeness, valuation and presentation): Reconcile gross cost, accumulated depreciation/impairment and net book value by asset class to the general ledger and financial statements.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  <x:c r="N5" s="46"/>
      <x:c r="O5" s="46"/>
    </x:row>
    <x:row r="6" ht="70" customHeight="1">
      <x:c r="A6" s="46" t="str">
        <x:v>Execution guidance: Obtain or prepare movement schedules by asset class. Reperform opening + additions − disposals ± transfers = closing cost and the equivalent depreciation roll-forward; agree opening balances to prior-year audited records and closing balances to register, GL and FS; investigate reconciling items and confirm transfer columns net to zero.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  <x:c r="N6" s="46"/>
      <x:c r="O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48" t="str">
        <x:v>Asset class</x:v>
      </x:c>
      <x:c r="B8" s="48" t="str">
        <x:v>Opening gross cost</x:v>
      </x:c>
      <x:c r="C8" s="48" t="str">
        <x:v>Additions</x:v>
      </x:c>
      <x:c r="D8" s="48" t="str">
        <x:v>Disposals</x:v>
      </x:c>
      <x:c r="E8" s="48" t="str">
        <x:v>Transfers</x:v>
      </x:c>
      <x:c r="F8" s="48" t="str">
        <x:v>Calculated closing cost</x:v>
      </x:c>
      <x:c r="G8" s="48" t="str">
        <x:v>Opening accum. dep./impairment</x:v>
      </x:c>
      <x:c r="H8" s="48" t="str">
        <x:v>Charge / impairment</x:v>
      </x:c>
      <x:c r="I8" s="48" t="str">
        <x:v>Depreciation on disposals</x:v>
      </x:c>
      <x:c r="J8" s="48" t="str">
        <x:v>Calculated closing accum. dep.</x:v>
      </x:c>
      <x:c r="K8" s="48" t="str">
        <x:v>Calculated closing NBV</x:v>
      </x:c>
      <x:c r="L8" s="48" t="str">
        <x:v>GL / register closing NBV</x:v>
      </x:c>
      <x:c r="M8" s="48" t="str">
        <x:v>Difference</x:v>
      </x:c>
      <x:c r="N8" s="48" t="str">
        <x:v>Result</x:v>
      </x:c>
      <x:c r="O8" s="48" t="str">
        <x:v>Tickmarks</x:v>
      </x:c>
    </x:row>
    <x:row r="9">
      <x:c r="A9" s="53"/>
      <x:c r="B9" s="54"/>
      <x:c r="C9" s="54"/>
      <x:c r="D9" s="54"/>
      <x:c r="E9" s="54"/>
      <x:c r="F9" s="55" t="n">
        <x:f>B9+C9-D9+E9</x:f>
        <x:v>0</x:v>
      </x:c>
      <x:c r="G9" s="54"/>
      <x:c r="H9" s="54"/>
      <x:c r="I9" s="54"/>
      <x:c r="J9" s="55" t="n">
        <x:f>G9+H9-I9</x:f>
        <x:v>0</x:v>
      </x:c>
      <x:c r="K9" s="55" t="n">
        <x:f>F9-J9</x:f>
        <x:v>0</x:v>
      </x:c>
      <x:c r="L9" s="54"/>
      <x:c r="M9" s="55" t="n">
        <x:f>K9-L9</x:f>
        <x:v>0</x:v>
      </x:c>
      <x:c r="N9" s="56" t="str">
        <x:f>IF(A9="","",IF(ABS(M9)&lt;='General'!$B$11,"Reconciled","Investigate"))</x:f>
      </x:c>
      <x:c r="O9" s="53"/>
    </x:row>
    <x:row r="10">
      <x:c r="A10" s="53"/>
      <x:c r="B10" s="54"/>
      <x:c r="C10" s="54"/>
      <x:c r="D10" s="54"/>
      <x:c r="E10" s="54"/>
      <x:c r="F10" s="55" t="n">
        <x:f>B10+C10-D10+E10</x:f>
        <x:v>0</x:v>
      </x:c>
      <x:c r="G10" s="54"/>
      <x:c r="H10" s="54"/>
      <x:c r="I10" s="54"/>
      <x:c r="J10" s="55" t="n">
        <x:f>G10+H10-I10</x:f>
        <x:v>0</x:v>
      </x:c>
      <x:c r="K10" s="55" t="n">
        <x:f>F10-J10</x:f>
        <x:v>0</x:v>
      </x:c>
      <x:c r="L10" s="54"/>
      <x:c r="M10" s="55" t="n">
        <x:f>K10-L10</x:f>
        <x:v>0</x:v>
      </x:c>
      <x:c r="N10" s="56" t="str">
        <x:f>IF(A10="","",IF(ABS(M10)&lt;='General'!$B$11,"Reconciled","Investigate"))</x:f>
      </x:c>
      <x:c r="O10" s="53"/>
    </x:row>
    <x:row r="11">
      <x:c r="A11" s="53"/>
      <x:c r="B11" s="54"/>
      <x:c r="C11" s="54"/>
      <x:c r="D11" s="54"/>
      <x:c r="E11" s="54"/>
      <x:c r="F11" s="55" t="n">
        <x:f>B11+C11-D11+E11</x:f>
        <x:v>0</x:v>
      </x:c>
      <x:c r="G11" s="54"/>
      <x:c r="H11" s="54"/>
      <x:c r="I11" s="54"/>
      <x:c r="J11" s="55" t="n">
        <x:f>G11+H11-I11</x:f>
        <x:v>0</x:v>
      </x:c>
      <x:c r="K11" s="55" t="n">
        <x:f>F11-J11</x:f>
        <x:v>0</x:v>
      </x:c>
      <x:c r="L11" s="54"/>
      <x:c r="M11" s="55" t="n">
        <x:f>K11-L11</x:f>
        <x:v>0</x:v>
      </x:c>
      <x:c r="N11" s="56" t="str">
        <x:f>IF(A11="","",IF(ABS(M11)&lt;='General'!$B$11,"Reconciled","Investigate"))</x:f>
      </x:c>
      <x:c r="O11" s="53"/>
    </x:row>
    <x:row r="12">
      <x:c r="A12" s="53"/>
      <x:c r="B12" s="54"/>
      <x:c r="C12" s="54"/>
      <x:c r="D12" s="54"/>
      <x:c r="E12" s="54"/>
      <x:c r="F12" s="55" t="n">
        <x:f>B12+C12-D12+E12</x:f>
        <x:v>0</x:v>
      </x:c>
      <x:c r="G12" s="54"/>
      <x:c r="H12" s="54"/>
      <x:c r="I12" s="54"/>
      <x:c r="J12" s="55" t="n">
        <x:f>G12+H12-I12</x:f>
        <x:v>0</x:v>
      </x:c>
      <x:c r="K12" s="55" t="n">
        <x:f>F12-J12</x:f>
        <x:v>0</x:v>
      </x:c>
      <x:c r="L12" s="54"/>
      <x:c r="M12" s="55" t="n">
        <x:f>K12-L12</x:f>
        <x:v>0</x:v>
      </x:c>
      <x:c r="N12" s="56" t="str">
        <x:f>IF(A12="","",IF(ABS(M12)&lt;='General'!$B$11,"Reconciled","Investigate"))</x:f>
      </x:c>
      <x:c r="O12" s="53"/>
    </x:row>
    <x:row r="13">
      <x:c r="A13" s="53"/>
      <x:c r="B13" s="54"/>
      <x:c r="C13" s="54"/>
      <x:c r="D13" s="54"/>
      <x:c r="E13" s="54"/>
      <x:c r="F13" s="55" t="n">
        <x:f>B13+C13-D13+E13</x:f>
        <x:v>0</x:v>
      </x:c>
      <x:c r="G13" s="54"/>
      <x:c r="H13" s="54"/>
      <x:c r="I13" s="54"/>
      <x:c r="J13" s="55" t="n">
        <x:f>G13+H13-I13</x:f>
        <x:v>0</x:v>
      </x:c>
      <x:c r="K13" s="55" t="n">
        <x:f>F13-J13</x:f>
        <x:v>0</x:v>
      </x:c>
      <x:c r="L13" s="54"/>
      <x:c r="M13" s="55" t="n">
        <x:f>K13-L13</x:f>
        <x:v>0</x:v>
      </x:c>
      <x:c r="N13" s="56" t="str">
        <x:f>IF(A13="","",IF(ABS(M13)&lt;='General'!$B$11,"Reconciled","Investigate"))</x:f>
      </x:c>
      <x:c r="O13" s="53"/>
    </x:row>
    <x:row r="14">
      <x:c r="A14" s="53"/>
      <x:c r="B14" s="54"/>
      <x:c r="C14" s="54"/>
      <x:c r="D14" s="54"/>
      <x:c r="E14" s="54"/>
      <x:c r="F14" s="55" t="n">
        <x:f>B14+C14-D14+E14</x:f>
        <x:v>0</x:v>
      </x:c>
      <x:c r="G14" s="54"/>
      <x:c r="H14" s="54"/>
      <x:c r="I14" s="54"/>
      <x:c r="J14" s="55" t="n">
        <x:f>G14+H14-I14</x:f>
        <x:v>0</x:v>
      </x:c>
      <x:c r="K14" s="55" t="n">
        <x:f>F14-J14</x:f>
        <x:v>0</x:v>
      </x:c>
      <x:c r="L14" s="54"/>
      <x:c r="M14" s="55" t="n">
        <x:f>K14-L14</x:f>
        <x:v>0</x:v>
      </x:c>
      <x:c r="N14" s="56" t="str">
        <x:f>IF(A14="","",IF(ABS(M14)&lt;='General'!$B$11,"Reconciled","Investigate"))</x:f>
      </x:c>
      <x:c r="O14" s="53"/>
    </x:row>
    <x:row r="15">
      <x:c r="A15" s="53"/>
      <x:c r="B15" s="54"/>
      <x:c r="C15" s="54"/>
      <x:c r="D15" s="54"/>
      <x:c r="E15" s="54"/>
      <x:c r="F15" s="55" t="n">
        <x:f>B15+C15-D15+E15</x:f>
        <x:v>0</x:v>
      </x:c>
      <x:c r="G15" s="54"/>
      <x:c r="H15" s="54"/>
      <x:c r="I15" s="54"/>
      <x:c r="J15" s="55" t="n">
        <x:f>G15+H15-I15</x:f>
        <x:v>0</x:v>
      </x:c>
      <x:c r="K15" s="55" t="n">
        <x:f>F15-J15</x:f>
        <x:v>0</x:v>
      </x:c>
      <x:c r="L15" s="54"/>
      <x:c r="M15" s="55" t="n">
        <x:f>K15-L15</x:f>
        <x:v>0</x:v>
      </x:c>
      <x:c r="N15" s="56" t="str">
        <x:f>IF(A15="","",IF(ABS(M15)&lt;='General'!$B$11,"Reconciled","Investigate"))</x:f>
      </x:c>
      <x:c r="O15" s="53"/>
    </x:row>
    <x:row r="16">
      <x:c r="A16" s="53"/>
      <x:c r="B16" s="54"/>
      <x:c r="C16" s="54"/>
      <x:c r="D16" s="54"/>
      <x:c r="E16" s="54"/>
      <x:c r="F16" s="55" t="n">
        <x:f>B16+C16-D16+E16</x:f>
        <x:v>0</x:v>
      </x:c>
      <x:c r="G16" s="54"/>
      <x:c r="H16" s="54"/>
      <x:c r="I16" s="54"/>
      <x:c r="J16" s="55" t="n">
        <x:f>G16+H16-I16</x:f>
        <x:v>0</x:v>
      </x:c>
      <x:c r="K16" s="55" t="n">
        <x:f>F16-J16</x:f>
        <x:v>0</x:v>
      </x:c>
      <x:c r="L16" s="54"/>
      <x:c r="M16" s="55" t="n">
        <x:f>K16-L16</x:f>
        <x:v>0</x:v>
      </x:c>
      <x:c r="N16" s="56" t="str">
        <x:f>IF(A16="","",IF(ABS(M16)&lt;='General'!$B$11,"Reconciled","Investigate"))</x:f>
      </x:c>
      <x:c r="O16" s="53"/>
    </x:row>
    <x:row r="17">
      <x:c r="A17" s="53"/>
      <x:c r="B17" s="54"/>
      <x:c r="C17" s="54"/>
      <x:c r="D17" s="54"/>
      <x:c r="E17" s="54"/>
      <x:c r="F17" s="55" t="n">
        <x:f>B17+C17-D17+E17</x:f>
        <x:v>0</x:v>
      </x:c>
      <x:c r="G17" s="54"/>
      <x:c r="H17" s="54"/>
      <x:c r="I17" s="54"/>
      <x:c r="J17" s="55" t="n">
        <x:f>G17+H17-I17</x:f>
        <x:v>0</x:v>
      </x:c>
      <x:c r="K17" s="55" t="n">
        <x:f>F17-J17</x:f>
        <x:v>0</x:v>
      </x:c>
      <x:c r="L17" s="54"/>
      <x:c r="M17" s="55" t="n">
        <x:f>K17-L17</x:f>
        <x:v>0</x:v>
      </x:c>
      <x:c r="N17" s="56" t="str">
        <x:f>IF(A17="","",IF(ABS(M17)&lt;='General'!$B$11,"Reconciled","Investigate"))</x:f>
      </x:c>
      <x:c r="O17" s="53"/>
    </x:row>
    <x:row r="18">
      <x:c r="A18" s="53"/>
      <x:c r="B18" s="54"/>
      <x:c r="C18" s="54"/>
      <x:c r="D18" s="54"/>
      <x:c r="E18" s="54"/>
      <x:c r="F18" s="55" t="n">
        <x:f>B18+C18-D18+E18</x:f>
        <x:v>0</x:v>
      </x:c>
      <x:c r="G18" s="54"/>
      <x:c r="H18" s="54"/>
      <x:c r="I18" s="54"/>
      <x:c r="J18" s="55" t="n">
        <x:f>G18+H18-I18</x:f>
        <x:v>0</x:v>
      </x:c>
      <x:c r="K18" s="55" t="n">
        <x:f>F18-J18</x:f>
        <x:v>0</x:v>
      </x:c>
      <x:c r="L18" s="54"/>
      <x:c r="M18" s="55" t="n">
        <x:f>K18-L18</x:f>
        <x:v>0</x:v>
      </x:c>
      <x:c r="N18" s="56" t="str">
        <x:f>IF(A18="","",IF(ABS(M18)&lt;='General'!$B$11,"Reconciled","Investigate"))</x:f>
      </x:c>
      <x:c r="O18" s="53"/>
    </x:row>
    <x:row r="19">
      <x:c r="A19" s="53"/>
      <x:c r="B19" s="54"/>
      <x:c r="C19" s="54"/>
      <x:c r="D19" s="54"/>
      <x:c r="E19" s="54"/>
      <x:c r="F19" s="55" t="n">
        <x:f>B19+C19-D19+E19</x:f>
        <x:v>0</x:v>
      </x:c>
      <x:c r="G19" s="54"/>
      <x:c r="H19" s="54"/>
      <x:c r="I19" s="54"/>
      <x:c r="J19" s="55" t="n">
        <x:f>G19+H19-I19</x:f>
        <x:v>0</x:v>
      </x:c>
      <x:c r="K19" s="55" t="n">
        <x:f>F19-J19</x:f>
        <x:v>0</x:v>
      </x:c>
      <x:c r="L19" s="54"/>
      <x:c r="M19" s="55" t="n">
        <x:f>K19-L19</x:f>
        <x:v>0</x:v>
      </x:c>
      <x:c r="N19" s="56" t="str">
        <x:f>IF(A19="","",IF(ABS(M19)&lt;='General'!$B$11,"Reconciled","Investigate"))</x:f>
      </x:c>
      <x:c r="O19" s="53"/>
    </x:row>
    <x:row r="20">
      <x:c r="A20" s="53"/>
      <x:c r="B20" s="54"/>
      <x:c r="C20" s="54"/>
      <x:c r="D20" s="54"/>
      <x:c r="E20" s="54"/>
      <x:c r="F20" s="55" t="n">
        <x:f>B20+C20-D20+E20</x:f>
        <x:v>0</x:v>
      </x:c>
      <x:c r="G20" s="54"/>
      <x:c r="H20" s="54"/>
      <x:c r="I20" s="54"/>
      <x:c r="J20" s="55" t="n">
        <x:f>G20+H20-I20</x:f>
        <x:v>0</x:v>
      </x:c>
      <x:c r="K20" s="55" t="n">
        <x:f>F20-J20</x:f>
        <x:v>0</x:v>
      </x:c>
      <x:c r="L20" s="54"/>
      <x:c r="M20" s="55" t="n">
        <x:f>K20-L20</x:f>
        <x:v>0</x:v>
      </x:c>
      <x:c r="N20" s="56" t="str">
        <x:f>IF(A20="","",IF(ABS(M20)&lt;='General'!$B$11,"Reconciled","Investigate"))</x:f>
      </x:c>
      <x:c r="O20" s="53"/>
    </x:row>
    <x:row r="21">
      <x:c r="A21" s="53"/>
      <x:c r="B21" s="54"/>
      <x:c r="C21" s="54"/>
      <x:c r="D21" s="54"/>
      <x:c r="E21" s="54"/>
      <x:c r="F21" s="55" t="n">
        <x:f>B21+C21-D21+E21</x:f>
        <x:v>0</x:v>
      </x:c>
      <x:c r="G21" s="54"/>
      <x:c r="H21" s="54"/>
      <x:c r="I21" s="54"/>
      <x:c r="J21" s="55" t="n">
        <x:f>G21+H21-I21</x:f>
        <x:v>0</x:v>
      </x:c>
      <x:c r="K21" s="55" t="n">
        <x:f>F21-J21</x:f>
        <x:v>0</x:v>
      </x:c>
      <x:c r="L21" s="54"/>
      <x:c r="M21" s="55" t="n">
        <x:f>K21-L21</x:f>
        <x:v>0</x:v>
      </x:c>
      <x:c r="N21" s="56" t="str">
        <x:f>IF(A21="","",IF(ABS(M21)&lt;='General'!$B$11,"Reconciled","Investigate"))</x:f>
      </x:c>
      <x:c r="O21" s="53"/>
    </x:row>
    <x:row r="22">
      <x:c r="A22" s="53"/>
      <x:c r="B22" s="54"/>
      <x:c r="C22" s="54"/>
      <x:c r="D22" s="54"/>
      <x:c r="E22" s="54"/>
      <x:c r="F22" s="55" t="n">
        <x:f>B22+C22-D22+E22</x:f>
        <x:v>0</x:v>
      </x:c>
      <x:c r="G22" s="54"/>
      <x:c r="H22" s="54"/>
      <x:c r="I22" s="54"/>
      <x:c r="J22" s="55" t="n">
        <x:f>G22+H22-I22</x:f>
        <x:v>0</x:v>
      </x:c>
      <x:c r="K22" s="55" t="n">
        <x:f>F22-J22</x:f>
        <x:v>0</x:v>
      </x:c>
      <x:c r="L22" s="54"/>
      <x:c r="M22" s="55" t="n">
        <x:f>K22-L22</x:f>
        <x:v>0</x:v>
      </x:c>
      <x:c r="N22" s="56" t="str">
        <x:f>IF(A22="","",IF(ABS(M22)&lt;='General'!$B$11,"Reconciled","Investigate"))</x:f>
      </x:c>
      <x:c r="O22" s="53"/>
    </x:row>
    <x:row r="23">
      <x:c r="A23" s="53"/>
      <x:c r="B23" s="54"/>
      <x:c r="C23" s="54"/>
      <x:c r="D23" s="54"/>
      <x:c r="E23" s="54"/>
      <x:c r="F23" s="55" t="n">
        <x:f>B23+C23-D23+E23</x:f>
        <x:v>0</x:v>
      </x:c>
      <x:c r="G23" s="54"/>
      <x:c r="H23" s="54"/>
      <x:c r="I23" s="54"/>
      <x:c r="J23" s="55" t="n">
        <x:f>G23+H23-I23</x:f>
        <x:v>0</x:v>
      </x:c>
      <x:c r="K23" s="55" t="n">
        <x:f>F23-J23</x:f>
        <x:v>0</x:v>
      </x:c>
      <x:c r="L23" s="54"/>
      <x:c r="M23" s="55" t="n">
        <x:f>K23-L23</x:f>
        <x:v>0</x:v>
      </x:c>
      <x:c r="N23" s="56" t="str">
        <x:f>IF(A23="","",IF(ABS(M23)&lt;='General'!$B$11,"Reconciled","Investigate"))</x:f>
      </x:c>
      <x:c r="O23" s="53"/>
    </x:row>
    <x:row r="24">
      <x:c r="A24" s="53"/>
      <x:c r="B24" s="54"/>
      <x:c r="C24" s="54"/>
      <x:c r="D24" s="54"/>
      <x:c r="E24" s="54"/>
      <x:c r="F24" s="55" t="n">
        <x:f>B24+C24-D24+E24</x:f>
        <x:v>0</x:v>
      </x:c>
      <x:c r="G24" s="54"/>
      <x:c r="H24" s="54"/>
      <x:c r="I24" s="54"/>
      <x:c r="J24" s="55" t="n">
        <x:f>G24+H24-I24</x:f>
        <x:v>0</x:v>
      </x:c>
      <x:c r="K24" s="55" t="n">
        <x:f>F24-J24</x:f>
        <x:v>0</x:v>
      </x:c>
      <x:c r="L24" s="54"/>
      <x:c r="M24" s="55" t="n">
        <x:f>K24-L24</x:f>
        <x:v>0</x:v>
      </x:c>
      <x:c r="N24" s="56" t="str">
        <x:f>IF(A24="","",IF(ABS(M24)&lt;='General'!$B$11,"Reconciled","Investigate"))</x:f>
      </x:c>
      <x:c r="O24" s="53"/>
    </x:row>
    <x:row r="25">
      <x:c r="A25" s="53"/>
      <x:c r="B25" s="54"/>
      <x:c r="C25" s="54"/>
      <x:c r="D25" s="54"/>
      <x:c r="E25" s="54"/>
      <x:c r="F25" s="55" t="n">
        <x:f>B25+C25-D25+E25</x:f>
        <x:v>0</x:v>
      </x:c>
      <x:c r="G25" s="54"/>
      <x:c r="H25" s="54"/>
      <x:c r="I25" s="54"/>
      <x:c r="J25" s="55" t="n">
        <x:f>G25+H25-I25</x:f>
        <x:v>0</x:v>
      </x:c>
      <x:c r="K25" s="55" t="n">
        <x:f>F25-J25</x:f>
        <x:v>0</x:v>
      </x:c>
      <x:c r="L25" s="54"/>
      <x:c r="M25" s="55" t="n">
        <x:f>K25-L25</x:f>
        <x:v>0</x:v>
      </x:c>
      <x:c r="N25" s="56" t="str">
        <x:f>IF(A25="","",IF(ABS(M25)&lt;='General'!$B$11,"Reconciled","Investigate"))</x:f>
      </x:c>
      <x:c r="O25" s="53"/>
    </x:row>
    <x:row r="26">
      <x:c r="A26" s="53"/>
      <x:c r="B26" s="54"/>
      <x:c r="C26" s="54"/>
      <x:c r="D26" s="54"/>
      <x:c r="E26" s="54"/>
      <x:c r="F26" s="55" t="n">
        <x:f>B26+C26-D26+E26</x:f>
        <x:v>0</x:v>
      </x:c>
      <x:c r="G26" s="54"/>
      <x:c r="H26" s="54"/>
      <x:c r="I26" s="54"/>
      <x:c r="J26" s="55" t="n">
        <x:f>G26+H26-I26</x:f>
        <x:v>0</x:v>
      </x:c>
      <x:c r="K26" s="55" t="n">
        <x:f>F26-J26</x:f>
        <x:v>0</x:v>
      </x:c>
      <x:c r="L26" s="54"/>
      <x:c r="M26" s="55" t="n">
        <x:f>K26-L26</x:f>
        <x:v>0</x:v>
      </x:c>
      <x:c r="N26" s="56" t="str">
        <x:f>IF(A26="","",IF(ABS(M26)&lt;='General'!$B$11,"Reconciled","Investigate"))</x:f>
      </x:c>
      <x:c r="O26" s="53"/>
    </x:row>
    <x:row r="27">
      <x:c r="A27" s="53"/>
      <x:c r="B27" s="54"/>
      <x:c r="C27" s="54"/>
      <x:c r="D27" s="54"/>
      <x:c r="E27" s="54"/>
      <x:c r="F27" s="55" t="n">
        <x:f>B27+C27-D27+E27</x:f>
        <x:v>0</x:v>
      </x:c>
      <x:c r="G27" s="54"/>
      <x:c r="H27" s="54"/>
      <x:c r="I27" s="54"/>
      <x:c r="J27" s="55" t="n">
        <x:f>G27+H27-I27</x:f>
        <x:v>0</x:v>
      </x:c>
      <x:c r="K27" s="55" t="n">
        <x:f>F27-J27</x:f>
        <x:v>0</x:v>
      </x:c>
      <x:c r="L27" s="54"/>
      <x:c r="M27" s="55" t="n">
        <x:f>K27-L27</x:f>
        <x:v>0</x:v>
      </x:c>
      <x:c r="N27" s="56" t="str">
        <x:f>IF(A27="","",IF(ABS(M27)&lt;='General'!$B$11,"Reconciled","Investigate"))</x:f>
      </x:c>
      <x:c r="O27" s="53"/>
    </x:row>
    <x:row r="28">
      <x:c r="A28" s="53"/>
      <x:c r="B28" s="54"/>
      <x:c r="C28" s="54"/>
      <x:c r="D28" s="54"/>
      <x:c r="E28" s="54"/>
      <x:c r="F28" s="55" t="n">
        <x:f>B28+C28-D28+E28</x:f>
        <x:v>0</x:v>
      </x:c>
      <x:c r="G28" s="54"/>
      <x:c r="H28" s="54"/>
      <x:c r="I28" s="54"/>
      <x:c r="J28" s="55" t="n">
        <x:f>G28+H28-I28</x:f>
        <x:v>0</x:v>
      </x:c>
      <x:c r="K28" s="55" t="n">
        <x:f>F28-J28</x:f>
        <x:v>0</x:v>
      </x:c>
      <x:c r="L28" s="54"/>
      <x:c r="M28" s="55" t="n">
        <x:f>K28-L28</x:f>
        <x:v>0</x:v>
      </x:c>
      <x:c r="N28" s="56" t="str">
        <x:f>IF(A28="","",IF(ABS(M28)&lt;='General'!$B$11,"Reconciled","Investigate"))</x:f>
      </x:c>
      <x:c r="O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</x:row>
    <x:row r="30">
      <x:c r="A30" s="61" t="str">
        <x:v>Conclusion – K-01-GL: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</x:row>
  </x:sheetData>
  <x:mergeCells>
    <x:mergeCell ref="A1:O1"/>
    <x:mergeCell ref="A5:O5"/>
    <x:mergeCell ref="A6:O6"/>
    <x:mergeCell ref="A30:O30"/>
  </x:mergeCells>
  <x:conditionalFormatting sqref="N9:N28">
    <x:cfRule type="containsText" dxfId="0" priority="1" operator="containsText" text="Exception"/>
    <x:cfRule type="containsText" dxfId="1" priority="2" operator="containsText" text="Investigate"/>
  </x:conditionalFormatting>
  <x:dataValidations count="2">
    <x:dataValidation type="list" sqref="J3">
      <x:formula1>"Not started,In progress,Prepared,Reviewed"</x:formula1>
    </x:dataValidation>
    <x:dataValidation type="list" sqref="O9:O28">
      <x:formula1>Tickmarks!$A$4:$A$21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</x:cols>
  <x:sheetData>
    <x:row r="1" ht="24" customHeight="1">
      <x:c r="A1" s="3" t="str">
        <x:v>K - Fixed Assets | K-02-GL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  <x:c r="M2" s="1"/>
    </x:row>
    <x:row r="3">
      <x:c r="A3" s="1" t="str">
        <x:v>WP reference</x:v>
      </x:c>
      <x:c r="B3" s="43" t="str">
        <x:v>K-02-GL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4" customHeight="1">
      <x:c r="A5" s="46" t="str">
        <x:v>Objective (Existence, completeness, valuation, rights and obligations, presentation): Determine whether additions are genuine, owned, capital in nature and correctly measured, and whether disposals and related gains/losses are complete and accurate.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</x:row>
    <x:row r="6" ht="70" customHeight="1">
      <x:c r="A6" s="46" t="str">
        <x:v>Execution guidance: Select significant and risk-based additions; inspect invoices, approvals, title, payment, location and in-service date; challenge repairs versus capital expenditure and borrowing/overhead capitalization. For disposals, inspect authorization and proceeds, trace assets out of the register, recalculate NBV and gain/loss, and search for unrecorded retirements.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48" t="str">
        <x:v>Asset ID / description</x:v>
      </x:c>
      <x:c r="B8" s="48" t="str">
        <x:v>Transaction type</x:v>
      </x:c>
      <x:c r="C8" s="48" t="str">
        <x:v>Invoice / disposal date</x:v>
      </x:c>
      <x:c r="D8" s="48" t="str">
        <x:v>In-service / disposal date</x:v>
      </x:c>
      <x:c r="E8" s="48" t="str">
        <x:v>Supplier / purchaser</x:v>
      </x:c>
      <x:c r="F8" s="48" t="str">
        <x:v>Gross amount / proceeds</x:v>
      </x:c>
      <x:c r="G8" s="48" t="str">
        <x:v>Capital criteria met?</x:v>
      </x:c>
      <x:c r="H8" s="48" t="str">
        <x:v>Title / approval / invoice evidence</x:v>
      </x:c>
      <x:c r="I8" s="48" t="str">
        <x:v>Client NBV / gain-loss</x:v>
      </x:c>
      <x:c r="J8" s="48" t="str">
        <x:v>Auditor NBV / gain-loss</x:v>
      </x:c>
      <x:c r="K8" s="48" t="str">
        <x:v>Difference</x:v>
      </x:c>
      <x:c r="L8" s="48" t="str">
        <x:v>Result</x:v>
      </x:c>
      <x:c r="M8" s="48" t="str">
        <x:v>Tickmarks</x:v>
      </x:c>
    </x:row>
    <x:row r="9">
      <x:c r="A9" s="53"/>
      <x:c r="B9" s="53"/>
      <x:c r="C9" s="66"/>
      <x:c r="D9" s="66"/>
      <x:c r="E9" s="53"/>
      <x:c r="F9" s="54"/>
      <x:c r="G9" s="53"/>
      <x:c r="H9" s="53"/>
      <x:c r="I9" s="54"/>
      <x:c r="J9" s="54"/>
      <x:c r="K9" s="55" t="n">
        <x:f>J9-I9</x:f>
        <x:v>0</x:v>
      </x:c>
      <x:c r="L9" s="56" t="str">
        <x:f>IF(A9="","",IF(AND(G9="Yes",ABS(K9)&lt;='General'!$B$11),"Cleared","Exception"))</x:f>
      </x:c>
      <x:c r="M9" s="53"/>
    </x:row>
    <x:row r="10">
      <x:c r="A10" s="53"/>
      <x:c r="B10" s="53"/>
      <x:c r="C10" s="66"/>
      <x:c r="D10" s="66"/>
      <x:c r="E10" s="53"/>
      <x:c r="F10" s="54"/>
      <x:c r="G10" s="53"/>
      <x:c r="H10" s="53"/>
      <x:c r="I10" s="54"/>
      <x:c r="J10" s="54"/>
      <x:c r="K10" s="55" t="n">
        <x:f>J10-I10</x:f>
        <x:v>0</x:v>
      </x:c>
      <x:c r="L10" s="56" t="str">
        <x:f>IF(A10="","",IF(AND(G10="Yes",ABS(K10)&lt;='General'!$B$11),"Cleared","Exception"))</x:f>
      </x:c>
      <x:c r="M10" s="53"/>
    </x:row>
    <x:row r="11">
      <x:c r="A11" s="53"/>
      <x:c r="B11" s="53"/>
      <x:c r="C11" s="66"/>
      <x:c r="D11" s="66"/>
      <x:c r="E11" s="53"/>
      <x:c r="F11" s="54"/>
      <x:c r="G11" s="53"/>
      <x:c r="H11" s="53"/>
      <x:c r="I11" s="54"/>
      <x:c r="J11" s="54"/>
      <x:c r="K11" s="55" t="n">
        <x:f>J11-I11</x:f>
        <x:v>0</x:v>
      </x:c>
      <x:c r="L11" s="56" t="str">
        <x:f>IF(A11="","",IF(AND(G11="Yes",ABS(K11)&lt;='General'!$B$11),"Cleared","Exception"))</x:f>
      </x:c>
      <x:c r="M11" s="53"/>
    </x:row>
    <x:row r="12">
      <x:c r="A12" s="53"/>
      <x:c r="B12" s="53"/>
      <x:c r="C12" s="66"/>
      <x:c r="D12" s="66"/>
      <x:c r="E12" s="53"/>
      <x:c r="F12" s="54"/>
      <x:c r="G12" s="53"/>
      <x:c r="H12" s="53"/>
      <x:c r="I12" s="54"/>
      <x:c r="J12" s="54"/>
      <x:c r="K12" s="55" t="n">
        <x:f>J12-I12</x:f>
        <x:v>0</x:v>
      </x:c>
      <x:c r="L12" s="56" t="str">
        <x:f>IF(A12="","",IF(AND(G12="Yes",ABS(K12)&lt;='General'!$B$11),"Cleared","Exception"))</x:f>
      </x:c>
      <x:c r="M12" s="53"/>
    </x:row>
    <x:row r="13">
      <x:c r="A13" s="53"/>
      <x:c r="B13" s="53"/>
      <x:c r="C13" s="66"/>
      <x:c r="D13" s="66"/>
      <x:c r="E13" s="53"/>
      <x:c r="F13" s="54"/>
      <x:c r="G13" s="53"/>
      <x:c r="H13" s="53"/>
      <x:c r="I13" s="54"/>
      <x:c r="J13" s="54"/>
      <x:c r="K13" s="55" t="n">
        <x:f>J13-I13</x:f>
        <x:v>0</x:v>
      </x:c>
      <x:c r="L13" s="56" t="str">
        <x:f>IF(A13="","",IF(AND(G13="Yes",ABS(K13)&lt;='General'!$B$11),"Cleared","Exception"))</x:f>
      </x:c>
      <x:c r="M13" s="53"/>
    </x:row>
    <x:row r="14">
      <x:c r="A14" s="53"/>
      <x:c r="B14" s="53"/>
      <x:c r="C14" s="66"/>
      <x:c r="D14" s="66"/>
      <x:c r="E14" s="53"/>
      <x:c r="F14" s="54"/>
      <x:c r="G14" s="53"/>
      <x:c r="H14" s="53"/>
      <x:c r="I14" s="54"/>
      <x:c r="J14" s="54"/>
      <x:c r="K14" s="55" t="n">
        <x:f>J14-I14</x:f>
        <x:v>0</x:v>
      </x:c>
      <x:c r="L14" s="56" t="str">
        <x:f>IF(A14="","",IF(AND(G14="Yes",ABS(K14)&lt;='General'!$B$11),"Cleared","Exception"))</x:f>
      </x:c>
      <x:c r="M14" s="53"/>
    </x:row>
    <x:row r="15">
      <x:c r="A15" s="53"/>
      <x:c r="B15" s="53"/>
      <x:c r="C15" s="66"/>
      <x:c r="D15" s="66"/>
      <x:c r="E15" s="53"/>
      <x:c r="F15" s="54"/>
      <x:c r="G15" s="53"/>
      <x:c r="H15" s="53"/>
      <x:c r="I15" s="54"/>
      <x:c r="J15" s="54"/>
      <x:c r="K15" s="55" t="n">
        <x:f>J15-I15</x:f>
        <x:v>0</x:v>
      </x:c>
      <x:c r="L15" s="56" t="str">
        <x:f>IF(A15="","",IF(AND(G15="Yes",ABS(K15)&lt;='General'!$B$11),"Cleared","Exception"))</x:f>
      </x:c>
      <x:c r="M15" s="53"/>
    </x:row>
    <x:row r="16">
      <x:c r="A16" s="53"/>
      <x:c r="B16" s="53"/>
      <x:c r="C16" s="66"/>
      <x:c r="D16" s="66"/>
      <x:c r="E16" s="53"/>
      <x:c r="F16" s="54"/>
      <x:c r="G16" s="53"/>
      <x:c r="H16" s="53"/>
      <x:c r="I16" s="54"/>
      <x:c r="J16" s="54"/>
      <x:c r="K16" s="55" t="n">
        <x:f>J16-I16</x:f>
        <x:v>0</x:v>
      </x:c>
      <x:c r="L16" s="56" t="str">
        <x:f>IF(A16="","",IF(AND(G16="Yes",ABS(K16)&lt;='General'!$B$11),"Cleared","Exception"))</x:f>
      </x:c>
      <x:c r="M16" s="53"/>
    </x:row>
    <x:row r="17">
      <x:c r="A17" s="53"/>
      <x:c r="B17" s="53"/>
      <x:c r="C17" s="66"/>
      <x:c r="D17" s="66"/>
      <x:c r="E17" s="53"/>
      <x:c r="F17" s="54"/>
      <x:c r="G17" s="53"/>
      <x:c r="H17" s="53"/>
      <x:c r="I17" s="54"/>
      <x:c r="J17" s="54"/>
      <x:c r="K17" s="55" t="n">
        <x:f>J17-I17</x:f>
        <x:v>0</x:v>
      </x:c>
      <x:c r="L17" s="56" t="str">
        <x:f>IF(A17="","",IF(AND(G17="Yes",ABS(K17)&lt;='General'!$B$11),"Cleared","Exception"))</x:f>
      </x:c>
      <x:c r="M17" s="53"/>
    </x:row>
    <x:row r="18">
      <x:c r="A18" s="53"/>
      <x:c r="B18" s="53"/>
      <x:c r="C18" s="66"/>
      <x:c r="D18" s="66"/>
      <x:c r="E18" s="53"/>
      <x:c r="F18" s="54"/>
      <x:c r="G18" s="53"/>
      <x:c r="H18" s="53"/>
      <x:c r="I18" s="54"/>
      <x:c r="J18" s="54"/>
      <x:c r="K18" s="55" t="n">
        <x:f>J18-I18</x:f>
        <x:v>0</x:v>
      </x:c>
      <x:c r="L18" s="56" t="str">
        <x:f>IF(A18="","",IF(AND(G18="Yes",ABS(K18)&lt;='General'!$B$11),"Cleared","Exception"))</x:f>
      </x:c>
      <x:c r="M18" s="53"/>
    </x:row>
    <x:row r="19">
      <x:c r="A19" s="53"/>
      <x:c r="B19" s="53"/>
      <x:c r="C19" s="66"/>
      <x:c r="D19" s="66"/>
      <x:c r="E19" s="53"/>
      <x:c r="F19" s="54"/>
      <x:c r="G19" s="53"/>
      <x:c r="H19" s="53"/>
      <x:c r="I19" s="54"/>
      <x:c r="J19" s="54"/>
      <x:c r="K19" s="55" t="n">
        <x:f>J19-I19</x:f>
        <x:v>0</x:v>
      </x:c>
      <x:c r="L19" s="56" t="str">
        <x:f>IF(A19="","",IF(AND(G19="Yes",ABS(K19)&lt;='General'!$B$11),"Cleared","Exception"))</x:f>
      </x:c>
      <x:c r="M19" s="53"/>
    </x:row>
    <x:row r="20">
      <x:c r="A20" s="53"/>
      <x:c r="B20" s="53"/>
      <x:c r="C20" s="66"/>
      <x:c r="D20" s="66"/>
      <x:c r="E20" s="53"/>
      <x:c r="F20" s="54"/>
      <x:c r="G20" s="53"/>
      <x:c r="H20" s="53"/>
      <x:c r="I20" s="54"/>
      <x:c r="J20" s="54"/>
      <x:c r="K20" s="55" t="n">
        <x:f>J20-I20</x:f>
        <x:v>0</x:v>
      </x:c>
      <x:c r="L20" s="56" t="str">
        <x:f>IF(A20="","",IF(AND(G20="Yes",ABS(K20)&lt;='General'!$B$11),"Cleared","Exception"))</x:f>
      </x:c>
      <x:c r="M20" s="53"/>
    </x:row>
    <x:row r="21">
      <x:c r="A21" s="53"/>
      <x:c r="B21" s="53"/>
      <x:c r="C21" s="66"/>
      <x:c r="D21" s="66"/>
      <x:c r="E21" s="53"/>
      <x:c r="F21" s="54"/>
      <x:c r="G21" s="53"/>
      <x:c r="H21" s="53"/>
      <x:c r="I21" s="54"/>
      <x:c r="J21" s="54"/>
      <x:c r="K21" s="55" t="n">
        <x:f>J21-I21</x:f>
        <x:v>0</x:v>
      </x:c>
      <x:c r="L21" s="56" t="str">
        <x:f>IF(A21="","",IF(AND(G21="Yes",ABS(K21)&lt;='General'!$B$11),"Cleared","Exception"))</x:f>
      </x:c>
      <x:c r="M21" s="53"/>
    </x:row>
    <x:row r="22">
      <x:c r="A22" s="53"/>
      <x:c r="B22" s="53"/>
      <x:c r="C22" s="66"/>
      <x:c r="D22" s="66"/>
      <x:c r="E22" s="53"/>
      <x:c r="F22" s="54"/>
      <x:c r="G22" s="53"/>
      <x:c r="H22" s="53"/>
      <x:c r="I22" s="54"/>
      <x:c r="J22" s="54"/>
      <x:c r="K22" s="55" t="n">
        <x:f>J22-I22</x:f>
        <x:v>0</x:v>
      </x:c>
      <x:c r="L22" s="56" t="str">
        <x:f>IF(A22="","",IF(AND(G22="Yes",ABS(K22)&lt;='General'!$B$11),"Cleared","Exception"))</x:f>
      </x:c>
      <x:c r="M22" s="53"/>
    </x:row>
    <x:row r="23">
      <x:c r="A23" s="53"/>
      <x:c r="B23" s="53"/>
      <x:c r="C23" s="66"/>
      <x:c r="D23" s="66"/>
      <x:c r="E23" s="53"/>
      <x:c r="F23" s="54"/>
      <x:c r="G23" s="53"/>
      <x:c r="H23" s="53"/>
      <x:c r="I23" s="54"/>
      <x:c r="J23" s="54"/>
      <x:c r="K23" s="55" t="n">
        <x:f>J23-I23</x:f>
        <x:v>0</x:v>
      </x:c>
      <x:c r="L23" s="56" t="str">
        <x:f>IF(A23="","",IF(AND(G23="Yes",ABS(K23)&lt;='General'!$B$11),"Cleared","Exception"))</x:f>
      </x:c>
      <x:c r="M23" s="53"/>
    </x:row>
    <x:row r="24">
      <x:c r="A24" s="53"/>
      <x:c r="B24" s="53"/>
      <x:c r="C24" s="66"/>
      <x:c r="D24" s="66"/>
      <x:c r="E24" s="53"/>
      <x:c r="F24" s="54"/>
      <x:c r="G24" s="53"/>
      <x:c r="H24" s="53"/>
      <x:c r="I24" s="54"/>
      <x:c r="J24" s="54"/>
      <x:c r="K24" s="55" t="n">
        <x:f>J24-I24</x:f>
        <x:v>0</x:v>
      </x:c>
      <x:c r="L24" s="56" t="str">
        <x:f>IF(A24="","",IF(AND(G24="Yes",ABS(K24)&lt;='General'!$B$11),"Cleared","Exception"))</x:f>
      </x:c>
      <x:c r="M24" s="53"/>
    </x:row>
    <x:row r="25">
      <x:c r="A25" s="53"/>
      <x:c r="B25" s="53"/>
      <x:c r="C25" s="66"/>
      <x:c r="D25" s="66"/>
      <x:c r="E25" s="53"/>
      <x:c r="F25" s="54"/>
      <x:c r="G25" s="53"/>
      <x:c r="H25" s="53"/>
      <x:c r="I25" s="54"/>
      <x:c r="J25" s="54"/>
      <x:c r="K25" s="55" t="n">
        <x:f>J25-I25</x:f>
        <x:v>0</x:v>
      </x:c>
      <x:c r="L25" s="56" t="str">
        <x:f>IF(A25="","",IF(AND(G25="Yes",ABS(K25)&lt;='General'!$B$11),"Cleared","Exception"))</x:f>
      </x:c>
      <x:c r="M25" s="53"/>
    </x:row>
    <x:row r="26">
      <x:c r="A26" s="53"/>
      <x:c r="B26" s="53"/>
      <x:c r="C26" s="66"/>
      <x:c r="D26" s="66"/>
      <x:c r="E26" s="53"/>
      <x:c r="F26" s="54"/>
      <x:c r="G26" s="53"/>
      <x:c r="H26" s="53"/>
      <x:c r="I26" s="54"/>
      <x:c r="J26" s="54"/>
      <x:c r="K26" s="55" t="n">
        <x:f>J26-I26</x:f>
        <x:v>0</x:v>
      </x:c>
      <x:c r="L26" s="56" t="str">
        <x:f>IF(A26="","",IF(AND(G26="Yes",ABS(K26)&lt;='General'!$B$11),"Cleared","Exception"))</x:f>
      </x:c>
      <x:c r="M26" s="53"/>
    </x:row>
    <x:row r="27">
      <x:c r="A27" s="53"/>
      <x:c r="B27" s="53"/>
      <x:c r="C27" s="66"/>
      <x:c r="D27" s="66"/>
      <x:c r="E27" s="53"/>
      <x:c r="F27" s="54"/>
      <x:c r="G27" s="53"/>
      <x:c r="H27" s="53"/>
      <x:c r="I27" s="54"/>
      <x:c r="J27" s="54"/>
      <x:c r="K27" s="55" t="n">
        <x:f>J27-I27</x:f>
        <x:v>0</x:v>
      </x:c>
      <x:c r="L27" s="56" t="str">
        <x:f>IF(A27="","",IF(AND(G27="Yes",ABS(K27)&lt;='General'!$B$11),"Cleared","Exception"))</x:f>
      </x:c>
      <x:c r="M27" s="53"/>
    </x:row>
    <x:row r="28">
      <x:c r="A28" s="53"/>
      <x:c r="B28" s="53"/>
      <x:c r="C28" s="66"/>
      <x:c r="D28" s="66"/>
      <x:c r="E28" s="53"/>
      <x:c r="F28" s="54"/>
      <x:c r="G28" s="53"/>
      <x:c r="H28" s="53"/>
      <x:c r="I28" s="54"/>
      <x:c r="J28" s="54"/>
      <x:c r="K28" s="55" t="n">
        <x:f>J28-I28</x:f>
        <x:v>0</x:v>
      </x:c>
      <x:c r="L28" s="56" t="str">
        <x:f>IF(A28="","",IF(AND(G28="Yes",ABS(K28)&lt;='General'!$B$11),"Cleared","Exception"))</x:f>
      </x:c>
      <x:c r="M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61" t="str">
        <x:v>Conclusion – K-02-GL: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</x:sheetData>
  <x:mergeCells>
    <x:mergeCell ref="A1:M1"/>
    <x:mergeCell ref="A5:M5"/>
    <x:mergeCell ref="A6:M6"/>
    <x:mergeCell ref="A30:M30"/>
  </x:mergeCells>
  <x:conditionalFormatting sqref="L9:L28">
    <x:cfRule type="containsText" dxfId="2" priority="1" operator="containsText" text="Exception"/>
    <x:cfRule type="containsText" dxfId="3" priority="2" operator="containsText" text="Investigate"/>
  </x:conditionalFormatting>
  <x:dataValidations count="4">
    <x:dataValidation type="list" sqref="J3">
      <x:formula1>"Not started,In progress,Prepared,Reviewed"</x:formula1>
    </x:dataValidation>
    <x:dataValidation type="list" sqref="B9:B28">
      <x:formula1>"Addition,Disposal,Transfer,Retirement"</x:formula1>
    </x:dataValidation>
    <x:dataValidation type="list" sqref="G9:G28">
      <x:formula1>"Yes,No,N/A"</x:formula1>
    </x:dataValidation>
    <x:dataValidation type="list" sqref="M9:M28">
      <x:formula1>Tickmarks!$A$4:$A$21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</x:cols>
  <x:sheetData>
    <x:row r="1" ht="24" customHeight="1">
      <x:c r="A1" s="3" t="str">
        <x:v>K - Fixed Assets | K-04-GL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</x:row>
    <x:row r="3">
      <x:c r="A3" s="1" t="str">
        <x:v>WP reference</x:v>
      </x:c>
      <x:c r="B3" s="43" t="str">
        <x:v>K-04-GL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4" customHeight="1">
      <x:c r="A5" s="46" t="str">
        <x:v>Objective (Valuation, occurrence and presentation): Determine whether depreciation/amortization methods, useful lives, residual values and charges are reasonable, consistent and accurately applied.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</x:row>
    <x:row r="6" ht="70" customHeight="1">
      <x:c r="A6" s="46" t="str">
        <x:v>Execution guidance: Agree policies and useful lives to approved accounting policies and disclosures. Perform analytics by asset class, reconcile movement in accumulated depreciation to expense and disposals, recalculate selected charges from in-service date, test changes prospectively, and investigate fully depreciated assets still in use or idle assets.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48" t="str">
        <x:v>Asset / class</x:v>
      </x:c>
      <x:c r="B8" s="48" t="str">
        <x:v>Gross cost</x:v>
      </x:c>
      <x:c r="C8" s="48" t="str">
        <x:v>In-service date</x:v>
      </x:c>
      <x:c r="D8" s="48" t="str">
        <x:v>Useful life (years)</x:v>
      </x:c>
      <x:c r="E8" s="48" t="str">
        <x:v>Residual value</x:v>
      </x:c>
      <x:c r="F8" s="48" t="str">
        <x:v>Method</x:v>
      </x:c>
      <x:c r="G8" s="48" t="str">
        <x:v>Months in use</x:v>
      </x:c>
      <x:c r="H8" s="48" t="str">
        <x:v>Client depreciation</x:v>
      </x:c>
      <x:c r="I8" s="48" t="str">
        <x:v>Auditor depreciation</x:v>
      </x:c>
      <x:c r="J8" s="48" t="str">
        <x:v>Difference</x:v>
      </x:c>
      <x:c r="K8" s="48" t="str">
        <x:v>Result</x:v>
      </x:c>
      <x:c r="L8" s="48" t="str">
        <x:v>Tickmarks</x:v>
      </x:c>
    </x:row>
    <x:row r="9">
      <x:c r="A9" s="53"/>
      <x:c r="B9" s="54"/>
      <x:c r="C9" s="66"/>
      <x:c r="D9" s="53"/>
      <x:c r="E9" s="54"/>
      <x:c r="F9" s="53"/>
      <x:c r="G9" s="53"/>
      <x:c r="H9" s="54"/>
      <x:c r="I9" s="55" t="n">
        <x:f>IF(OR(B9=0,D9=0),0,((B9-E9)/D9)*(G9/12))</x:f>
        <x:v>0</x:v>
      </x:c>
      <x:c r="J9" s="55" t="n">
        <x:f>I9-H9</x:f>
        <x:v>0</x:v>
      </x:c>
      <x:c r="K9" s="56" t="str">
        <x:f>IF(A9="","",IF(ABS(J9)&lt;='General'!$B$11,"Cleared","Exception"))</x:f>
      </x:c>
      <x:c r="L9" s="53"/>
    </x:row>
    <x:row r="10">
      <x:c r="A10" s="53"/>
      <x:c r="B10" s="54"/>
      <x:c r="C10" s="66"/>
      <x:c r="D10" s="53"/>
      <x:c r="E10" s="54"/>
      <x:c r="F10" s="53"/>
      <x:c r="G10" s="53"/>
      <x:c r="H10" s="54"/>
      <x:c r="I10" s="55" t="n">
        <x:f>IF(OR(B10=0,D10=0),0,((B10-E10)/D10)*(G10/12))</x:f>
        <x:v>0</x:v>
      </x:c>
      <x:c r="J10" s="55" t="n">
        <x:f>I10-H10</x:f>
        <x:v>0</x:v>
      </x:c>
      <x:c r="K10" s="56" t="str">
        <x:f>IF(A10="","",IF(ABS(J10)&lt;='General'!$B$11,"Cleared","Exception"))</x:f>
      </x:c>
      <x:c r="L10" s="53"/>
    </x:row>
    <x:row r="11">
      <x:c r="A11" s="53"/>
      <x:c r="B11" s="54"/>
      <x:c r="C11" s="66"/>
      <x:c r="D11" s="53"/>
      <x:c r="E11" s="54"/>
      <x:c r="F11" s="53"/>
      <x:c r="G11" s="53"/>
      <x:c r="H11" s="54"/>
      <x:c r="I11" s="55" t="n">
        <x:f>IF(OR(B11=0,D11=0),0,((B11-E11)/D11)*(G11/12))</x:f>
        <x:v>0</x:v>
      </x:c>
      <x:c r="J11" s="55" t="n">
        <x:f>I11-H11</x:f>
        <x:v>0</x:v>
      </x:c>
      <x:c r="K11" s="56" t="str">
        <x:f>IF(A11="","",IF(ABS(J11)&lt;='General'!$B$11,"Cleared","Exception"))</x:f>
      </x:c>
      <x:c r="L11" s="53"/>
    </x:row>
    <x:row r="12">
      <x:c r="A12" s="53"/>
      <x:c r="B12" s="54"/>
      <x:c r="C12" s="66"/>
      <x:c r="D12" s="53"/>
      <x:c r="E12" s="54"/>
      <x:c r="F12" s="53"/>
      <x:c r="G12" s="53"/>
      <x:c r="H12" s="54"/>
      <x:c r="I12" s="55" t="n">
        <x:f>IF(OR(B12=0,D12=0),0,((B12-E12)/D12)*(G12/12))</x:f>
        <x:v>0</x:v>
      </x:c>
      <x:c r="J12" s="55" t="n">
        <x:f>I12-H12</x:f>
        <x:v>0</x:v>
      </x:c>
      <x:c r="K12" s="56" t="str">
        <x:f>IF(A12="","",IF(ABS(J12)&lt;='General'!$B$11,"Cleared","Exception"))</x:f>
      </x:c>
      <x:c r="L12" s="53"/>
    </x:row>
    <x:row r="13">
      <x:c r="A13" s="53"/>
      <x:c r="B13" s="54"/>
      <x:c r="C13" s="66"/>
      <x:c r="D13" s="53"/>
      <x:c r="E13" s="54"/>
      <x:c r="F13" s="53"/>
      <x:c r="G13" s="53"/>
      <x:c r="H13" s="54"/>
      <x:c r="I13" s="55" t="n">
        <x:f>IF(OR(B13=0,D13=0),0,((B13-E13)/D13)*(G13/12))</x:f>
        <x:v>0</x:v>
      </x:c>
      <x:c r="J13" s="55" t="n">
        <x:f>I13-H13</x:f>
        <x:v>0</x:v>
      </x:c>
      <x:c r="K13" s="56" t="str">
        <x:f>IF(A13="","",IF(ABS(J13)&lt;='General'!$B$11,"Cleared","Exception"))</x:f>
      </x:c>
      <x:c r="L13" s="53"/>
    </x:row>
    <x:row r="14">
      <x:c r="A14" s="53"/>
      <x:c r="B14" s="54"/>
      <x:c r="C14" s="66"/>
      <x:c r="D14" s="53"/>
      <x:c r="E14" s="54"/>
      <x:c r="F14" s="53"/>
      <x:c r="G14" s="53"/>
      <x:c r="H14" s="54"/>
      <x:c r="I14" s="55" t="n">
        <x:f>IF(OR(B14=0,D14=0),0,((B14-E14)/D14)*(G14/12))</x:f>
        <x:v>0</x:v>
      </x:c>
      <x:c r="J14" s="55" t="n">
        <x:f>I14-H14</x:f>
        <x:v>0</x:v>
      </x:c>
      <x:c r="K14" s="56" t="str">
        <x:f>IF(A14="","",IF(ABS(J14)&lt;='General'!$B$11,"Cleared","Exception"))</x:f>
      </x:c>
      <x:c r="L14" s="53"/>
    </x:row>
    <x:row r="15">
      <x:c r="A15" s="53"/>
      <x:c r="B15" s="54"/>
      <x:c r="C15" s="66"/>
      <x:c r="D15" s="53"/>
      <x:c r="E15" s="54"/>
      <x:c r="F15" s="53"/>
      <x:c r="G15" s="53"/>
      <x:c r="H15" s="54"/>
      <x:c r="I15" s="55" t="n">
        <x:f>IF(OR(B15=0,D15=0),0,((B15-E15)/D15)*(G15/12))</x:f>
        <x:v>0</x:v>
      </x:c>
      <x:c r="J15" s="55" t="n">
        <x:f>I15-H15</x:f>
        <x:v>0</x:v>
      </x:c>
      <x:c r="K15" s="56" t="str">
        <x:f>IF(A15="","",IF(ABS(J15)&lt;='General'!$B$11,"Cleared","Exception"))</x:f>
      </x:c>
      <x:c r="L15" s="53"/>
    </x:row>
    <x:row r="16">
      <x:c r="A16" s="53"/>
      <x:c r="B16" s="54"/>
      <x:c r="C16" s="66"/>
      <x:c r="D16" s="53"/>
      <x:c r="E16" s="54"/>
      <x:c r="F16" s="53"/>
      <x:c r="G16" s="53"/>
      <x:c r="H16" s="54"/>
      <x:c r="I16" s="55" t="n">
        <x:f>IF(OR(B16=0,D16=0),0,((B16-E16)/D16)*(G16/12))</x:f>
        <x:v>0</x:v>
      </x:c>
      <x:c r="J16" s="55" t="n">
        <x:f>I16-H16</x:f>
        <x:v>0</x:v>
      </x:c>
      <x:c r="K16" s="56" t="str">
        <x:f>IF(A16="","",IF(ABS(J16)&lt;='General'!$B$11,"Cleared","Exception"))</x:f>
      </x:c>
      <x:c r="L16" s="53"/>
    </x:row>
    <x:row r="17">
      <x:c r="A17" s="53"/>
      <x:c r="B17" s="54"/>
      <x:c r="C17" s="66"/>
      <x:c r="D17" s="53"/>
      <x:c r="E17" s="54"/>
      <x:c r="F17" s="53"/>
      <x:c r="G17" s="53"/>
      <x:c r="H17" s="54"/>
      <x:c r="I17" s="55" t="n">
        <x:f>IF(OR(B17=0,D17=0),0,((B17-E17)/D17)*(G17/12))</x:f>
        <x:v>0</x:v>
      </x:c>
      <x:c r="J17" s="55" t="n">
        <x:f>I17-H17</x:f>
        <x:v>0</x:v>
      </x:c>
      <x:c r="K17" s="56" t="str">
        <x:f>IF(A17="","",IF(ABS(J17)&lt;='General'!$B$11,"Cleared","Exception"))</x:f>
      </x:c>
      <x:c r="L17" s="53"/>
    </x:row>
    <x:row r="18">
      <x:c r="A18" s="53"/>
      <x:c r="B18" s="54"/>
      <x:c r="C18" s="66"/>
      <x:c r="D18" s="53"/>
      <x:c r="E18" s="54"/>
      <x:c r="F18" s="53"/>
      <x:c r="G18" s="53"/>
      <x:c r="H18" s="54"/>
      <x:c r="I18" s="55" t="n">
        <x:f>IF(OR(B18=0,D18=0),0,((B18-E18)/D18)*(G18/12))</x:f>
        <x:v>0</x:v>
      </x:c>
      <x:c r="J18" s="55" t="n">
        <x:f>I18-H18</x:f>
        <x:v>0</x:v>
      </x:c>
      <x:c r="K18" s="56" t="str">
        <x:f>IF(A18="","",IF(ABS(J18)&lt;='General'!$B$11,"Cleared","Exception"))</x:f>
      </x:c>
      <x:c r="L18" s="53"/>
    </x:row>
    <x:row r="19">
      <x:c r="A19" s="53"/>
      <x:c r="B19" s="54"/>
      <x:c r="C19" s="66"/>
      <x:c r="D19" s="53"/>
      <x:c r="E19" s="54"/>
      <x:c r="F19" s="53"/>
      <x:c r="G19" s="53"/>
      <x:c r="H19" s="54"/>
      <x:c r="I19" s="55" t="n">
        <x:f>IF(OR(B19=0,D19=0),0,((B19-E19)/D19)*(G19/12))</x:f>
        <x:v>0</x:v>
      </x:c>
      <x:c r="J19" s="55" t="n">
        <x:f>I19-H19</x:f>
        <x:v>0</x:v>
      </x:c>
      <x:c r="K19" s="56" t="str">
        <x:f>IF(A19="","",IF(ABS(J19)&lt;='General'!$B$11,"Cleared","Exception"))</x:f>
      </x:c>
      <x:c r="L19" s="53"/>
    </x:row>
    <x:row r="20">
      <x:c r="A20" s="53"/>
      <x:c r="B20" s="54"/>
      <x:c r="C20" s="66"/>
      <x:c r="D20" s="53"/>
      <x:c r="E20" s="54"/>
      <x:c r="F20" s="53"/>
      <x:c r="G20" s="53"/>
      <x:c r="H20" s="54"/>
      <x:c r="I20" s="55" t="n">
        <x:f>IF(OR(B20=0,D20=0),0,((B20-E20)/D20)*(G20/12))</x:f>
        <x:v>0</x:v>
      </x:c>
      <x:c r="J20" s="55" t="n">
        <x:f>I20-H20</x:f>
        <x:v>0</x:v>
      </x:c>
      <x:c r="K20" s="56" t="str">
        <x:f>IF(A20="","",IF(ABS(J20)&lt;='General'!$B$11,"Cleared","Exception"))</x:f>
      </x:c>
      <x:c r="L20" s="53"/>
    </x:row>
    <x:row r="21">
      <x:c r="A21" s="53"/>
      <x:c r="B21" s="54"/>
      <x:c r="C21" s="66"/>
      <x:c r="D21" s="53"/>
      <x:c r="E21" s="54"/>
      <x:c r="F21" s="53"/>
      <x:c r="G21" s="53"/>
      <x:c r="H21" s="54"/>
      <x:c r="I21" s="55" t="n">
        <x:f>IF(OR(B21=0,D21=0),0,((B21-E21)/D21)*(G21/12))</x:f>
        <x:v>0</x:v>
      </x:c>
      <x:c r="J21" s="55" t="n">
        <x:f>I21-H21</x:f>
        <x:v>0</x:v>
      </x:c>
      <x:c r="K21" s="56" t="str">
        <x:f>IF(A21="","",IF(ABS(J21)&lt;='General'!$B$11,"Cleared","Exception"))</x:f>
      </x:c>
      <x:c r="L21" s="53"/>
    </x:row>
    <x:row r="22">
      <x:c r="A22" s="53"/>
      <x:c r="B22" s="54"/>
      <x:c r="C22" s="66"/>
      <x:c r="D22" s="53"/>
      <x:c r="E22" s="54"/>
      <x:c r="F22" s="53"/>
      <x:c r="G22" s="53"/>
      <x:c r="H22" s="54"/>
      <x:c r="I22" s="55" t="n">
        <x:f>IF(OR(B22=0,D22=0),0,((B22-E22)/D22)*(G22/12))</x:f>
        <x:v>0</x:v>
      </x:c>
      <x:c r="J22" s="55" t="n">
        <x:f>I22-H22</x:f>
        <x:v>0</x:v>
      </x:c>
      <x:c r="K22" s="56" t="str">
        <x:f>IF(A22="","",IF(ABS(J22)&lt;='General'!$B$11,"Cleared","Exception"))</x:f>
      </x:c>
      <x:c r="L22" s="53"/>
    </x:row>
    <x:row r="23">
      <x:c r="A23" s="53"/>
      <x:c r="B23" s="54"/>
      <x:c r="C23" s="66"/>
      <x:c r="D23" s="53"/>
      <x:c r="E23" s="54"/>
      <x:c r="F23" s="53"/>
      <x:c r="G23" s="53"/>
      <x:c r="H23" s="54"/>
      <x:c r="I23" s="55" t="n">
        <x:f>IF(OR(B23=0,D23=0),0,((B23-E23)/D23)*(G23/12))</x:f>
        <x:v>0</x:v>
      </x:c>
      <x:c r="J23" s="55" t="n">
        <x:f>I23-H23</x:f>
        <x:v>0</x:v>
      </x:c>
      <x:c r="K23" s="56" t="str">
        <x:f>IF(A23="","",IF(ABS(J23)&lt;='General'!$B$11,"Cleared","Exception"))</x:f>
      </x:c>
      <x:c r="L23" s="53"/>
    </x:row>
    <x:row r="24">
      <x:c r="A24" s="53"/>
      <x:c r="B24" s="54"/>
      <x:c r="C24" s="66"/>
      <x:c r="D24" s="53"/>
      <x:c r="E24" s="54"/>
      <x:c r="F24" s="53"/>
      <x:c r="G24" s="53"/>
      <x:c r="H24" s="54"/>
      <x:c r="I24" s="55" t="n">
        <x:f>IF(OR(B24=0,D24=0),0,((B24-E24)/D24)*(G24/12))</x:f>
        <x:v>0</x:v>
      </x:c>
      <x:c r="J24" s="55" t="n">
        <x:f>I24-H24</x:f>
        <x:v>0</x:v>
      </x:c>
      <x:c r="K24" s="56" t="str">
        <x:f>IF(A24="","",IF(ABS(J24)&lt;='General'!$B$11,"Cleared","Exception"))</x:f>
      </x:c>
      <x:c r="L24" s="53"/>
    </x:row>
    <x:row r="25">
      <x:c r="A25" s="53"/>
      <x:c r="B25" s="54"/>
      <x:c r="C25" s="66"/>
      <x:c r="D25" s="53"/>
      <x:c r="E25" s="54"/>
      <x:c r="F25" s="53"/>
      <x:c r="G25" s="53"/>
      <x:c r="H25" s="54"/>
      <x:c r="I25" s="55" t="n">
        <x:f>IF(OR(B25=0,D25=0),0,((B25-E25)/D25)*(G25/12))</x:f>
        <x:v>0</x:v>
      </x:c>
      <x:c r="J25" s="55" t="n">
        <x:f>I25-H25</x:f>
        <x:v>0</x:v>
      </x:c>
      <x:c r="K25" s="56" t="str">
        <x:f>IF(A25="","",IF(ABS(J25)&lt;='General'!$B$11,"Cleared","Exception"))</x:f>
      </x:c>
      <x:c r="L25" s="53"/>
    </x:row>
    <x:row r="26">
      <x:c r="A26" s="53"/>
      <x:c r="B26" s="54"/>
      <x:c r="C26" s="66"/>
      <x:c r="D26" s="53"/>
      <x:c r="E26" s="54"/>
      <x:c r="F26" s="53"/>
      <x:c r="G26" s="53"/>
      <x:c r="H26" s="54"/>
      <x:c r="I26" s="55" t="n">
        <x:f>IF(OR(B26=0,D26=0),0,((B26-E26)/D26)*(G26/12))</x:f>
        <x:v>0</x:v>
      </x:c>
      <x:c r="J26" s="55" t="n">
        <x:f>I26-H26</x:f>
        <x:v>0</x:v>
      </x:c>
      <x:c r="K26" s="56" t="str">
        <x:f>IF(A26="","",IF(ABS(J26)&lt;='General'!$B$11,"Cleared","Exception"))</x:f>
      </x:c>
      <x:c r="L26" s="53"/>
    </x:row>
    <x:row r="27">
      <x:c r="A27" s="53"/>
      <x:c r="B27" s="54"/>
      <x:c r="C27" s="66"/>
      <x:c r="D27" s="53"/>
      <x:c r="E27" s="54"/>
      <x:c r="F27" s="53"/>
      <x:c r="G27" s="53"/>
      <x:c r="H27" s="54"/>
      <x:c r="I27" s="55" t="n">
        <x:f>IF(OR(B27=0,D27=0),0,((B27-E27)/D27)*(G27/12))</x:f>
        <x:v>0</x:v>
      </x:c>
      <x:c r="J27" s="55" t="n">
        <x:f>I27-H27</x:f>
        <x:v>0</x:v>
      </x:c>
      <x:c r="K27" s="56" t="str">
        <x:f>IF(A27="","",IF(ABS(J27)&lt;='General'!$B$11,"Cleared","Exception"))</x:f>
      </x:c>
      <x:c r="L27" s="53"/>
    </x:row>
    <x:row r="28">
      <x:c r="A28" s="53"/>
      <x:c r="B28" s="54"/>
      <x:c r="C28" s="66"/>
      <x:c r="D28" s="53"/>
      <x:c r="E28" s="54"/>
      <x:c r="F28" s="53"/>
      <x:c r="G28" s="53"/>
      <x:c r="H28" s="54"/>
      <x:c r="I28" s="55" t="n">
        <x:f>IF(OR(B28=0,D28=0),0,((B28-E28)/D28)*(G28/12))</x:f>
        <x:v>0</x:v>
      </x:c>
      <x:c r="J28" s="55" t="n">
        <x:f>I28-H28</x:f>
        <x:v>0</x:v>
      </x:c>
      <x:c r="K28" s="56" t="str">
        <x:f>IF(A28="","",IF(ABS(J28)&lt;='General'!$B$11,"Cleared","Exception"))</x:f>
      </x:c>
      <x:c r="L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1" t="str">
        <x:v>Conclusion – K-04-GL: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</x:sheetData>
  <x:mergeCells>
    <x:mergeCell ref="A1:L1"/>
    <x:mergeCell ref="A5:L5"/>
    <x:mergeCell ref="A6:L6"/>
    <x:mergeCell ref="A30:L30"/>
  </x:mergeCells>
  <x:conditionalFormatting sqref="K9:K28">
    <x:cfRule type="containsText" dxfId="4" priority="1" operator="containsText" text="Exception"/>
    <x:cfRule type="containsText" dxfId="5" priority="2" operator="containsText" text="Investigate"/>
  </x:conditionalFormatting>
  <x:dataValidations count="3">
    <x:dataValidation type="list" sqref="J3">
      <x:formula1>"Not started,In progress,Prepared,Reviewed"</x:formula1>
    </x:dataValidation>
    <x:dataValidation type="list" sqref="F9:F28">
      <x:formula1>"Straight line,Reducing balance,Units of production,Other"</x:formula1>
    </x:dataValidation>
    <x:dataValidation type="list" sqref="L9:L28">
      <x:formula1>Tickmarks!$A$4:$A$21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4" hidden="0" customWidth="1"/>
    <x:col min="3" max="3" width="22" hidden="0" customWidth="1"/>
    <x:col min="4" max="4" width="2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2" hidden="0" customWidth="1"/>
  </x:cols>
  <x:sheetData>
    <x:row r="1" ht="24" customHeight="1">
      <x:c r="A1" s="3" t="str">
        <x:v>K - Fixed Assets | K-05-GL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1" t="str">
        <x:v>Entity</x:v>
      </x:c>
      <x:c r="B2" s="43" t="str">
        <x:f>'General'!B3</x:f>
        <x:v>[Enter entity name]</x:v>
      </x:c>
      <x:c r="C2" s="43" t="str">
        <x:v>Period end</x:v>
      </x:c>
      <x:c r="D2" s="44" t="str">
        <x:f>IF('General'!B4="","",'General'!B4)</x:f>
      </x:c>
      <x:c r="E2" s="43" t="str">
        <x:v>Currency</x:v>
      </x:c>
      <x:c r="F2" s="43" t="str">
        <x:f>'General'!B5</x:f>
        <x:v>GBP</x:v>
      </x:c>
      <x:c r="G2" s="43" t="str">
        <x:v>Prepared by</x:v>
      </x:c>
      <x:c r="H2" s="43" t="str">
        <x:f>'General'!B6</x:f>
        <x:v>[Name / date]</x:v>
      </x:c>
      <x:c r="I2" s="43" t="str">
        <x:v>Reviewed by</x:v>
      </x:c>
      <x:c r="J2" s="43" t="str">
        <x:f>'General'!B7</x:f>
        <x:v>[Name / date]</x:v>
      </x:c>
      <x:c r="K2" s="1"/>
      <x:c r="L2" s="1"/>
      <x:c r="M2" s="1"/>
    </x:row>
    <x:row r="3">
      <x:c r="A3" s="1" t="str">
        <x:v>WP reference</x:v>
      </x:c>
      <x:c r="B3" s="43" t="str">
        <x:v>K-05-GL</x:v>
      </x:c>
      <x:c r="C3" s="43" t="str">
        <x:v>Planning mat.</x:v>
      </x:c>
      <x:c r="D3" s="45" t="n">
        <x:f>'General'!B9</x:f>
        <x:v>0</x:v>
      </x:c>
      <x:c r="E3" s="45" t="str">
        <x:v>Tolerable error</x:v>
      </x:c>
      <x:c r="F3" s="45" t="n">
        <x:f>'General'!B10</x:f>
        <x:v>0</x:v>
      </x:c>
      <x:c r="G3" s="45" t="str">
        <x:v>SAD nominal</x:v>
      </x:c>
      <x:c r="H3" s="45" t="n">
        <x:f>'General'!B11</x:f>
        <x:v>0</x:v>
      </x:c>
      <x:c r="I3" s="43" t="str">
        <x:v>Status</x:v>
      </x:c>
      <x:c r="J3" s="8" t="str">
        <x:v>Not started</x:v>
      </x:c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4" customHeight="1">
      <x:c r="A5" s="46" t="str">
        <x:v>Objective (Valuation): Determine whether impairment indicators have been identified and whether any impairment charge or reversal is appropriately measured and recorded.</x:v>
      </x:c>
      <x:c r="B5" s="46"/>
      <x:c r="C5" s="46"/>
      <x:c r="D5" s="46"/>
      <x:c r="E5" s="46"/>
      <x:c r="F5" s="46"/>
      <x:c r="G5" s="46"/>
      <x:c r="H5" s="46"/>
      <x:c r="I5" s="46"/>
      <x:c r="J5" s="46"/>
      <x:c r="K5" s="46"/>
      <x:c r="L5" s="46"/>
      <x:c r="M5" s="46"/>
    </x:row>
    <x:row r="6" ht="70" customHeight="1">
      <x:c r="A6" s="46" t="str">
        <x:v>Execution guidance: Inquire of operations and inspect budgets, utilization, damage, obsolescence, closures and market changes for indicators. Test management’s recoverable-amount model, cash-flow forecasts, discount rates and sensitivities; compare carrying value with recoverable amount; check allocation and disclosures; and quantify any unrecorded impairment.</x:v>
      </x:c>
      <x:c r="B6" s="46"/>
      <x:c r="C6" s="46"/>
      <x:c r="D6" s="46"/>
      <x:c r="E6" s="46"/>
      <x:c r="F6" s="46"/>
      <x:c r="G6" s="46"/>
      <x:c r="H6" s="46"/>
      <x:c r="I6" s="46"/>
      <x:c r="J6" s="46"/>
      <x:c r="K6" s="46"/>
      <x:c r="L6" s="46"/>
      <x:c r="M6" s="46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</x:row>
    <x:row r="8">
      <x:c r="A8" s="48" t="str">
        <x:v>Asset / CGU</x:v>
      </x:c>
      <x:c r="B8" s="48" t="str">
        <x:v>Carrying amount</x:v>
      </x:c>
      <x:c r="C8" s="48" t="str">
        <x:v>Impairment indicator</x:v>
      </x:c>
      <x:c r="D8" s="48" t="str">
        <x:v>Forecast / valuation reference</x:v>
      </x:c>
      <x:c r="E8" s="48" t="str">
        <x:v>Value in use</x:v>
      </x:c>
      <x:c r="F8" s="48" t="str">
        <x:v>Fair value less costs</x:v>
      </x:c>
      <x:c r="G8" s="48" t="str">
        <x:v>Recoverable amount</x:v>
      </x:c>
      <x:c r="H8" s="48" t="str">
        <x:v>Headroom / shortfall</x:v>
      </x:c>
      <x:c r="I8" s="48" t="str">
        <x:v>Client impairment</x:v>
      </x:c>
      <x:c r="J8" s="48" t="str">
        <x:v>Auditor required impairment</x:v>
      </x:c>
      <x:c r="K8" s="48" t="str">
        <x:v>Difference</x:v>
      </x:c>
      <x:c r="L8" s="48" t="str">
        <x:v>Result</x:v>
      </x:c>
      <x:c r="M8" s="48" t="str">
        <x:v>Tickmarks</x:v>
      </x:c>
    </x:row>
    <x:row r="9">
      <x:c r="A9" s="53"/>
      <x:c r="B9" s="54"/>
      <x:c r="C9" s="53"/>
      <x:c r="D9" s="53"/>
      <x:c r="E9" s="54"/>
      <x:c r="F9" s="54"/>
      <x:c r="G9" s="55" t="n">
        <x:f>MAX(E9,F9)</x:f>
        <x:v>0</x:v>
      </x:c>
      <x:c r="H9" s="55" t="n">
        <x:f>G9-B9</x:f>
        <x:v>0</x:v>
      </x:c>
      <x:c r="I9" s="54"/>
      <x:c r="J9" s="55" t="n">
        <x:f>MAX(0,B9-G9)</x:f>
        <x:v>0</x:v>
      </x:c>
      <x:c r="K9" s="55" t="n">
        <x:f>J9-I9</x:f>
        <x:v>0</x:v>
      </x:c>
      <x:c r="L9" s="56" t="str">
        <x:f>IF(A9="","",IF(ABS(K9)&lt;='General'!$B$11,"Cleared","Exception"))</x:f>
      </x:c>
      <x:c r="M9" s="53"/>
    </x:row>
    <x:row r="10">
      <x:c r="A10" s="53"/>
      <x:c r="B10" s="54"/>
      <x:c r="C10" s="53"/>
      <x:c r="D10" s="53"/>
      <x:c r="E10" s="54"/>
      <x:c r="F10" s="54"/>
      <x:c r="G10" s="55" t="n">
        <x:f>MAX(E10,F10)</x:f>
        <x:v>0</x:v>
      </x:c>
      <x:c r="H10" s="55" t="n">
        <x:f>G10-B10</x:f>
        <x:v>0</x:v>
      </x:c>
      <x:c r="I10" s="54"/>
      <x:c r="J10" s="55" t="n">
        <x:f>MAX(0,B10-G10)</x:f>
        <x:v>0</x:v>
      </x:c>
      <x:c r="K10" s="55" t="n">
        <x:f>J10-I10</x:f>
        <x:v>0</x:v>
      </x:c>
      <x:c r="L10" s="56" t="str">
        <x:f>IF(A10="","",IF(ABS(K10)&lt;='General'!$B$11,"Cleared","Exception"))</x:f>
      </x:c>
      <x:c r="M10" s="53"/>
    </x:row>
    <x:row r="11">
      <x:c r="A11" s="53"/>
      <x:c r="B11" s="54"/>
      <x:c r="C11" s="53"/>
      <x:c r="D11" s="53"/>
      <x:c r="E11" s="54"/>
      <x:c r="F11" s="54"/>
      <x:c r="G11" s="55" t="n">
        <x:f>MAX(E11,F11)</x:f>
        <x:v>0</x:v>
      </x:c>
      <x:c r="H11" s="55" t="n">
        <x:f>G11-B11</x:f>
        <x:v>0</x:v>
      </x:c>
      <x:c r="I11" s="54"/>
      <x:c r="J11" s="55" t="n">
        <x:f>MAX(0,B11-G11)</x:f>
        <x:v>0</x:v>
      </x:c>
      <x:c r="K11" s="55" t="n">
        <x:f>J11-I11</x:f>
        <x:v>0</x:v>
      </x:c>
      <x:c r="L11" s="56" t="str">
        <x:f>IF(A11="","",IF(ABS(K11)&lt;='General'!$B$11,"Cleared","Exception"))</x:f>
      </x:c>
      <x:c r="M11" s="53"/>
    </x:row>
    <x:row r="12">
      <x:c r="A12" s="53"/>
      <x:c r="B12" s="54"/>
      <x:c r="C12" s="53"/>
      <x:c r="D12" s="53"/>
      <x:c r="E12" s="54"/>
      <x:c r="F12" s="54"/>
      <x:c r="G12" s="55" t="n">
        <x:f>MAX(E12,F12)</x:f>
        <x:v>0</x:v>
      </x:c>
      <x:c r="H12" s="55" t="n">
        <x:f>G12-B12</x:f>
        <x:v>0</x:v>
      </x:c>
      <x:c r="I12" s="54"/>
      <x:c r="J12" s="55" t="n">
        <x:f>MAX(0,B12-G12)</x:f>
        <x:v>0</x:v>
      </x:c>
      <x:c r="K12" s="55" t="n">
        <x:f>J12-I12</x:f>
        <x:v>0</x:v>
      </x:c>
      <x:c r="L12" s="56" t="str">
        <x:f>IF(A12="","",IF(ABS(K12)&lt;='General'!$B$11,"Cleared","Exception"))</x:f>
      </x:c>
      <x:c r="M12" s="53"/>
    </x:row>
    <x:row r="13">
      <x:c r="A13" s="53"/>
      <x:c r="B13" s="54"/>
      <x:c r="C13" s="53"/>
      <x:c r="D13" s="53"/>
      <x:c r="E13" s="54"/>
      <x:c r="F13" s="54"/>
      <x:c r="G13" s="55" t="n">
        <x:f>MAX(E13,F13)</x:f>
        <x:v>0</x:v>
      </x:c>
      <x:c r="H13" s="55" t="n">
        <x:f>G13-B13</x:f>
        <x:v>0</x:v>
      </x:c>
      <x:c r="I13" s="54"/>
      <x:c r="J13" s="55" t="n">
        <x:f>MAX(0,B13-G13)</x:f>
        <x:v>0</x:v>
      </x:c>
      <x:c r="K13" s="55" t="n">
        <x:f>J13-I13</x:f>
        <x:v>0</x:v>
      </x:c>
      <x:c r="L13" s="56" t="str">
        <x:f>IF(A13="","",IF(ABS(K13)&lt;='General'!$B$11,"Cleared","Exception"))</x:f>
      </x:c>
      <x:c r="M13" s="53"/>
    </x:row>
    <x:row r="14">
      <x:c r="A14" s="53"/>
      <x:c r="B14" s="54"/>
      <x:c r="C14" s="53"/>
      <x:c r="D14" s="53"/>
      <x:c r="E14" s="54"/>
      <x:c r="F14" s="54"/>
      <x:c r="G14" s="55" t="n">
        <x:f>MAX(E14,F14)</x:f>
        <x:v>0</x:v>
      </x:c>
      <x:c r="H14" s="55" t="n">
        <x:f>G14-B14</x:f>
        <x:v>0</x:v>
      </x:c>
      <x:c r="I14" s="54"/>
      <x:c r="J14" s="55" t="n">
        <x:f>MAX(0,B14-G14)</x:f>
        <x:v>0</x:v>
      </x:c>
      <x:c r="K14" s="55" t="n">
        <x:f>J14-I14</x:f>
        <x:v>0</x:v>
      </x:c>
      <x:c r="L14" s="56" t="str">
        <x:f>IF(A14="","",IF(ABS(K14)&lt;='General'!$B$11,"Cleared","Exception"))</x:f>
      </x:c>
      <x:c r="M14" s="53"/>
    </x:row>
    <x:row r="15">
      <x:c r="A15" s="53"/>
      <x:c r="B15" s="54"/>
      <x:c r="C15" s="53"/>
      <x:c r="D15" s="53"/>
      <x:c r="E15" s="54"/>
      <x:c r="F15" s="54"/>
      <x:c r="G15" s="55" t="n">
        <x:f>MAX(E15,F15)</x:f>
        <x:v>0</x:v>
      </x:c>
      <x:c r="H15" s="55" t="n">
        <x:f>G15-B15</x:f>
        <x:v>0</x:v>
      </x:c>
      <x:c r="I15" s="54"/>
      <x:c r="J15" s="55" t="n">
        <x:f>MAX(0,B15-G15)</x:f>
        <x:v>0</x:v>
      </x:c>
      <x:c r="K15" s="55" t="n">
        <x:f>J15-I15</x:f>
        <x:v>0</x:v>
      </x:c>
      <x:c r="L15" s="56" t="str">
        <x:f>IF(A15="","",IF(ABS(K15)&lt;='General'!$B$11,"Cleared","Exception"))</x:f>
      </x:c>
      <x:c r="M15" s="53"/>
    </x:row>
    <x:row r="16">
      <x:c r="A16" s="53"/>
      <x:c r="B16" s="54"/>
      <x:c r="C16" s="53"/>
      <x:c r="D16" s="53"/>
      <x:c r="E16" s="54"/>
      <x:c r="F16" s="54"/>
      <x:c r="G16" s="55" t="n">
        <x:f>MAX(E16,F16)</x:f>
        <x:v>0</x:v>
      </x:c>
      <x:c r="H16" s="55" t="n">
        <x:f>G16-B16</x:f>
        <x:v>0</x:v>
      </x:c>
      <x:c r="I16" s="54"/>
      <x:c r="J16" s="55" t="n">
        <x:f>MAX(0,B16-G16)</x:f>
        <x:v>0</x:v>
      </x:c>
      <x:c r="K16" s="55" t="n">
        <x:f>J16-I16</x:f>
        <x:v>0</x:v>
      </x:c>
      <x:c r="L16" s="56" t="str">
        <x:f>IF(A16="","",IF(ABS(K16)&lt;='General'!$B$11,"Cleared","Exception"))</x:f>
      </x:c>
      <x:c r="M16" s="53"/>
    </x:row>
    <x:row r="17">
      <x:c r="A17" s="53"/>
      <x:c r="B17" s="54"/>
      <x:c r="C17" s="53"/>
      <x:c r="D17" s="53"/>
      <x:c r="E17" s="54"/>
      <x:c r="F17" s="54"/>
      <x:c r="G17" s="55" t="n">
        <x:f>MAX(E17,F17)</x:f>
        <x:v>0</x:v>
      </x:c>
      <x:c r="H17" s="55" t="n">
        <x:f>G17-B17</x:f>
        <x:v>0</x:v>
      </x:c>
      <x:c r="I17" s="54"/>
      <x:c r="J17" s="55" t="n">
        <x:f>MAX(0,B17-G17)</x:f>
        <x:v>0</x:v>
      </x:c>
      <x:c r="K17" s="55" t="n">
        <x:f>J17-I17</x:f>
        <x:v>0</x:v>
      </x:c>
      <x:c r="L17" s="56" t="str">
        <x:f>IF(A17="","",IF(ABS(K17)&lt;='General'!$B$11,"Cleared","Exception"))</x:f>
      </x:c>
      <x:c r="M17" s="53"/>
    </x:row>
    <x:row r="18">
      <x:c r="A18" s="53"/>
      <x:c r="B18" s="54"/>
      <x:c r="C18" s="53"/>
      <x:c r="D18" s="53"/>
      <x:c r="E18" s="54"/>
      <x:c r="F18" s="54"/>
      <x:c r="G18" s="55" t="n">
        <x:f>MAX(E18,F18)</x:f>
        <x:v>0</x:v>
      </x:c>
      <x:c r="H18" s="55" t="n">
        <x:f>G18-B18</x:f>
        <x:v>0</x:v>
      </x:c>
      <x:c r="I18" s="54"/>
      <x:c r="J18" s="55" t="n">
        <x:f>MAX(0,B18-G18)</x:f>
        <x:v>0</x:v>
      </x:c>
      <x:c r="K18" s="55" t="n">
        <x:f>J18-I18</x:f>
        <x:v>0</x:v>
      </x:c>
      <x:c r="L18" s="56" t="str">
        <x:f>IF(A18="","",IF(ABS(K18)&lt;='General'!$B$11,"Cleared","Exception"))</x:f>
      </x:c>
      <x:c r="M18" s="53"/>
    </x:row>
    <x:row r="19">
      <x:c r="A19" s="53"/>
      <x:c r="B19" s="54"/>
      <x:c r="C19" s="53"/>
      <x:c r="D19" s="53"/>
      <x:c r="E19" s="54"/>
      <x:c r="F19" s="54"/>
      <x:c r="G19" s="55" t="n">
        <x:f>MAX(E19,F19)</x:f>
        <x:v>0</x:v>
      </x:c>
      <x:c r="H19" s="55" t="n">
        <x:f>G19-B19</x:f>
        <x:v>0</x:v>
      </x:c>
      <x:c r="I19" s="54"/>
      <x:c r="J19" s="55" t="n">
        <x:f>MAX(0,B19-G19)</x:f>
        <x:v>0</x:v>
      </x:c>
      <x:c r="K19" s="55" t="n">
        <x:f>J19-I19</x:f>
        <x:v>0</x:v>
      </x:c>
      <x:c r="L19" s="56" t="str">
        <x:f>IF(A19="","",IF(ABS(K19)&lt;='General'!$B$11,"Cleared","Exception"))</x:f>
      </x:c>
      <x:c r="M19" s="53"/>
    </x:row>
    <x:row r="20">
      <x:c r="A20" s="53"/>
      <x:c r="B20" s="54"/>
      <x:c r="C20" s="53"/>
      <x:c r="D20" s="53"/>
      <x:c r="E20" s="54"/>
      <x:c r="F20" s="54"/>
      <x:c r="G20" s="55" t="n">
        <x:f>MAX(E20,F20)</x:f>
        <x:v>0</x:v>
      </x:c>
      <x:c r="H20" s="55" t="n">
        <x:f>G20-B20</x:f>
        <x:v>0</x:v>
      </x:c>
      <x:c r="I20" s="54"/>
      <x:c r="J20" s="55" t="n">
        <x:f>MAX(0,B20-G20)</x:f>
        <x:v>0</x:v>
      </x:c>
      <x:c r="K20" s="55" t="n">
        <x:f>J20-I20</x:f>
        <x:v>0</x:v>
      </x:c>
      <x:c r="L20" s="56" t="str">
        <x:f>IF(A20="","",IF(ABS(K20)&lt;='General'!$B$11,"Cleared","Exception"))</x:f>
      </x:c>
      <x:c r="M20" s="53"/>
    </x:row>
    <x:row r="21">
      <x:c r="A21" s="53"/>
      <x:c r="B21" s="54"/>
      <x:c r="C21" s="53"/>
      <x:c r="D21" s="53"/>
      <x:c r="E21" s="54"/>
      <x:c r="F21" s="54"/>
      <x:c r="G21" s="55" t="n">
        <x:f>MAX(E21,F21)</x:f>
        <x:v>0</x:v>
      </x:c>
      <x:c r="H21" s="55" t="n">
        <x:f>G21-B21</x:f>
        <x:v>0</x:v>
      </x:c>
      <x:c r="I21" s="54"/>
      <x:c r="J21" s="55" t="n">
        <x:f>MAX(0,B21-G21)</x:f>
        <x:v>0</x:v>
      </x:c>
      <x:c r="K21" s="55" t="n">
        <x:f>J21-I21</x:f>
        <x:v>0</x:v>
      </x:c>
      <x:c r="L21" s="56" t="str">
        <x:f>IF(A21="","",IF(ABS(K21)&lt;='General'!$B$11,"Cleared","Exception"))</x:f>
      </x:c>
      <x:c r="M21" s="53"/>
    </x:row>
    <x:row r="22">
      <x:c r="A22" s="53"/>
      <x:c r="B22" s="54"/>
      <x:c r="C22" s="53"/>
      <x:c r="D22" s="53"/>
      <x:c r="E22" s="54"/>
      <x:c r="F22" s="54"/>
      <x:c r="G22" s="55" t="n">
        <x:f>MAX(E22,F22)</x:f>
        <x:v>0</x:v>
      </x:c>
      <x:c r="H22" s="55" t="n">
        <x:f>G22-B22</x:f>
        <x:v>0</x:v>
      </x:c>
      <x:c r="I22" s="54"/>
      <x:c r="J22" s="55" t="n">
        <x:f>MAX(0,B22-G22)</x:f>
        <x:v>0</x:v>
      </x:c>
      <x:c r="K22" s="55" t="n">
        <x:f>J22-I22</x:f>
        <x:v>0</x:v>
      </x:c>
      <x:c r="L22" s="56" t="str">
        <x:f>IF(A22="","",IF(ABS(K22)&lt;='General'!$B$11,"Cleared","Exception"))</x:f>
      </x:c>
      <x:c r="M22" s="53"/>
    </x:row>
    <x:row r="23">
      <x:c r="A23" s="53"/>
      <x:c r="B23" s="54"/>
      <x:c r="C23" s="53"/>
      <x:c r="D23" s="53"/>
      <x:c r="E23" s="54"/>
      <x:c r="F23" s="54"/>
      <x:c r="G23" s="55" t="n">
        <x:f>MAX(E23,F23)</x:f>
        <x:v>0</x:v>
      </x:c>
      <x:c r="H23" s="55" t="n">
        <x:f>G23-B23</x:f>
        <x:v>0</x:v>
      </x:c>
      <x:c r="I23" s="54"/>
      <x:c r="J23" s="55" t="n">
        <x:f>MAX(0,B23-G23)</x:f>
        <x:v>0</x:v>
      </x:c>
      <x:c r="K23" s="55" t="n">
        <x:f>J23-I23</x:f>
        <x:v>0</x:v>
      </x:c>
      <x:c r="L23" s="56" t="str">
        <x:f>IF(A23="","",IF(ABS(K23)&lt;='General'!$B$11,"Cleared","Exception"))</x:f>
      </x:c>
      <x:c r="M23" s="53"/>
    </x:row>
    <x:row r="24">
      <x:c r="A24" s="53"/>
      <x:c r="B24" s="54"/>
      <x:c r="C24" s="53"/>
      <x:c r="D24" s="53"/>
      <x:c r="E24" s="54"/>
      <x:c r="F24" s="54"/>
      <x:c r="G24" s="55" t="n">
        <x:f>MAX(E24,F24)</x:f>
        <x:v>0</x:v>
      </x:c>
      <x:c r="H24" s="55" t="n">
        <x:f>G24-B24</x:f>
        <x:v>0</x:v>
      </x:c>
      <x:c r="I24" s="54"/>
      <x:c r="J24" s="55" t="n">
        <x:f>MAX(0,B24-G24)</x:f>
        <x:v>0</x:v>
      </x:c>
      <x:c r="K24" s="55" t="n">
        <x:f>J24-I24</x:f>
        <x:v>0</x:v>
      </x:c>
      <x:c r="L24" s="56" t="str">
        <x:f>IF(A24="","",IF(ABS(K24)&lt;='General'!$B$11,"Cleared","Exception"))</x:f>
      </x:c>
      <x:c r="M24" s="53"/>
    </x:row>
    <x:row r="25">
      <x:c r="A25" s="53"/>
      <x:c r="B25" s="54"/>
      <x:c r="C25" s="53"/>
      <x:c r="D25" s="53"/>
      <x:c r="E25" s="54"/>
      <x:c r="F25" s="54"/>
      <x:c r="G25" s="55" t="n">
        <x:f>MAX(E25,F25)</x:f>
        <x:v>0</x:v>
      </x:c>
      <x:c r="H25" s="55" t="n">
        <x:f>G25-B25</x:f>
        <x:v>0</x:v>
      </x:c>
      <x:c r="I25" s="54"/>
      <x:c r="J25" s="55" t="n">
        <x:f>MAX(0,B25-G25)</x:f>
        <x:v>0</x:v>
      </x:c>
      <x:c r="K25" s="55" t="n">
        <x:f>J25-I25</x:f>
        <x:v>0</x:v>
      </x:c>
      <x:c r="L25" s="56" t="str">
        <x:f>IF(A25="","",IF(ABS(K25)&lt;='General'!$B$11,"Cleared","Exception"))</x:f>
      </x:c>
      <x:c r="M25" s="53"/>
    </x:row>
    <x:row r="26">
      <x:c r="A26" s="53"/>
      <x:c r="B26" s="54"/>
      <x:c r="C26" s="53"/>
      <x:c r="D26" s="53"/>
      <x:c r="E26" s="54"/>
      <x:c r="F26" s="54"/>
      <x:c r="G26" s="55" t="n">
        <x:f>MAX(E26,F26)</x:f>
        <x:v>0</x:v>
      </x:c>
      <x:c r="H26" s="55" t="n">
        <x:f>G26-B26</x:f>
        <x:v>0</x:v>
      </x:c>
      <x:c r="I26" s="54"/>
      <x:c r="J26" s="55" t="n">
        <x:f>MAX(0,B26-G26)</x:f>
        <x:v>0</x:v>
      </x:c>
      <x:c r="K26" s="55" t="n">
        <x:f>J26-I26</x:f>
        <x:v>0</x:v>
      </x:c>
      <x:c r="L26" s="56" t="str">
        <x:f>IF(A26="","",IF(ABS(K26)&lt;='General'!$B$11,"Cleared","Exception"))</x:f>
      </x:c>
      <x:c r="M26" s="53"/>
    </x:row>
    <x:row r="27">
      <x:c r="A27" s="53"/>
      <x:c r="B27" s="54"/>
      <x:c r="C27" s="53"/>
      <x:c r="D27" s="53"/>
      <x:c r="E27" s="54"/>
      <x:c r="F27" s="54"/>
      <x:c r="G27" s="55" t="n">
        <x:f>MAX(E27,F27)</x:f>
        <x:v>0</x:v>
      </x:c>
      <x:c r="H27" s="55" t="n">
        <x:f>G27-B27</x:f>
        <x:v>0</x:v>
      </x:c>
      <x:c r="I27" s="54"/>
      <x:c r="J27" s="55" t="n">
        <x:f>MAX(0,B27-G27)</x:f>
        <x:v>0</x:v>
      </x:c>
      <x:c r="K27" s="55" t="n">
        <x:f>J27-I27</x:f>
        <x:v>0</x:v>
      </x:c>
      <x:c r="L27" s="56" t="str">
        <x:f>IF(A27="","",IF(ABS(K27)&lt;='General'!$B$11,"Cleared","Exception"))</x:f>
      </x:c>
      <x:c r="M27" s="53"/>
    </x:row>
    <x:row r="28">
      <x:c r="A28" s="53"/>
      <x:c r="B28" s="54"/>
      <x:c r="C28" s="53"/>
      <x:c r="D28" s="53"/>
      <x:c r="E28" s="54"/>
      <x:c r="F28" s="54"/>
      <x:c r="G28" s="55" t="n">
        <x:f>MAX(E28,F28)</x:f>
        <x:v>0</x:v>
      </x:c>
      <x:c r="H28" s="55" t="n">
        <x:f>G28-B28</x:f>
        <x:v>0</x:v>
      </x:c>
      <x:c r="I28" s="54"/>
      <x:c r="J28" s="55" t="n">
        <x:f>MAX(0,B28-G28)</x:f>
        <x:v>0</x:v>
      </x:c>
      <x:c r="K28" s="55" t="n">
        <x:f>J28-I28</x:f>
        <x:v>0</x:v>
      </x:c>
      <x:c r="L28" s="56" t="str">
        <x:f>IF(A28="","",IF(ABS(K28)&lt;='General'!$B$11,"Cleared","Exception"))</x:f>
      </x:c>
      <x:c r="M28" s="53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</x:row>
    <x:row r="30">
      <x:c r="A30" s="61" t="str">
        <x:v>Conclusion – K-05-GL: [Summarise the procedure-specific population tested, coverage, exceptions, quantified misstatements, follow-up work and whether the stated assertions were achieved.]</x:v>
      </x:c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3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</x:row>
  </x:sheetData>
  <x:mergeCells>
    <x:mergeCell ref="A1:M1"/>
    <x:mergeCell ref="A5:M5"/>
    <x:mergeCell ref="A6:M6"/>
    <x:mergeCell ref="A30:M30"/>
  </x:mergeCells>
  <x:conditionalFormatting sqref="L9:L28">
    <x:cfRule type="containsText" dxfId="6" priority="1" operator="containsText" text="Exception"/>
    <x:cfRule type="containsText" dxfId="7" priority="2" operator="containsText" text="Investigate"/>
  </x:conditionalFormatting>
  <x:dataValidations count="3">
    <x:dataValidation type="list" sqref="J3">
      <x:formula1>"Not started,In progress,Prepared,Reviewed"</x:formula1>
    </x:dataValidation>
    <x:dataValidation type="list" sqref="C9:C28">
      <x:formula1>"Yes,No,Potential"</x:formula1>
    </x:dataValidation>
    <x:dataValidation type="list" sqref="M9:M28">
      <x:formula1>Tickmarks!$A$4:$A$21</x:formula1>
    </x:dataValidation>
  </x:dataValidations>
  <x:pageMargins left="0.7" right="0.7" top="0.75" bottom="0.75" header="0.3" footer="0.3"/>
</x:worksheet>
</file>