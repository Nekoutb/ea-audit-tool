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60228eefff40e2" /></Relationships>
</file>

<file path=xl/workbook.xml><?xml version="1.0" encoding="utf-8"?>
<x:workbook xmlns:x="http://schemas.openxmlformats.org/spreadsheetml/2006/main">
  <x:sheets>
    <x:sheet xmlns:r="http://schemas.openxmlformats.org/officeDocument/2006/relationships" name="General" sheetId="1" r:id="R6d8d135389d64d3c"/>
    <x:sheet xmlns:r="http://schemas.openxmlformats.org/officeDocument/2006/relationships" name="Help" sheetId="2" r:id="Rcf05eee1e31e488e"/>
    <x:sheet xmlns:r="http://schemas.openxmlformats.org/officeDocument/2006/relationships" name="Tickmarks" sheetId="3" r:id="R55e3bda19f944022"/>
    <x:sheet xmlns:r="http://schemas.openxmlformats.org/officeDocument/2006/relationships" name="E-1 GL Reconciliation" sheetId="4" r:id="R56ccdbe471544cc1"/>
    <x:sheet xmlns:r="http://schemas.openxmlformats.org/officeDocument/2006/relationships" name="E-2 Confirmations" sheetId="5" r:id="R0e01523216f24908"/>
    <x:sheet xmlns:r="http://schemas.openxmlformats.org/officeDocument/2006/relationships" name="E-3 Roll Forward" sheetId="6" r:id="Rb98e1f6c5a8542f0"/>
    <x:sheet xmlns:r="http://schemas.openxmlformats.org/officeDocument/2006/relationships" name="E-4 Cut-off" sheetId="7" r:id="Rd765cc4e2b8b4294"/>
    <x:sheet xmlns:r="http://schemas.openxmlformats.org/officeDocument/2006/relationships" name="E-5 Doubtful Accounts" sheetId="8" r:id="Rf51353719907414f"/>
    <x:sheet xmlns:r="http://schemas.openxmlformats.org/officeDocument/2006/relationships" name="E-6 Other Adjustments" sheetId="9" r:id="Rc3d23217e317436d"/>
    <x:sheet xmlns:r="http://schemas.openxmlformats.org/officeDocument/2006/relationships" name="E-7 Foreign Currency" sheetId="10" r:id="Rc8823c86bfd0461c"/>
    <x:sheet xmlns:r="http://schemas.openxmlformats.org/officeDocument/2006/relationships" name="E-8 Credit Balances" sheetId="11" r:id="R0c736a3a2c1943c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mmm-yyyy"/>
    <x:numFmt numFmtId="201" formatCode="#,##0;[Red](#,##0);-"/>
    <x:numFmt numFmtId="202" formatCode="#,##0.00"/>
    <x:numFmt numFmtId="203" formatCode="0.000000"/>
  </x:numFmts>
  <x:fonts count="8">
    <x:font>
      <x:sz val="11"/>
      <x:name val="Carlito"/>
    </x:font>
    <x:font>
      <x:sz val="10"/>
      <x:color rgb="FF222222"/>
      <x:name val="Arial"/>
    </x:font>
    <x:font>
      <x:b/>
      <x:sz val="12"/>
      <x:color rgb="FFFFFFFF"/>
      <x:name val="Arial"/>
    </x:font>
    <x:font>
      <x:b/>
      <x:sz val="10"/>
      <x:color rgb="FF000000"/>
      <x:name val="Arial"/>
    </x:font>
    <x:font>
      <x:sz val="10"/>
      <x:color rgb="FF000000"/>
      <x:name val="Arial"/>
    </x:font>
    <x:font>
      <x:b/>
      <x:sz val="10"/>
      <x:color rgb="FFFFFFFF"/>
      <x:name val="Arial"/>
    </x:font>
    <x:font>
      <x:sz val="10"/>
      <x:color rgb="FFFFFFFF"/>
      <x:name val="Arial"/>
    </x:font>
    <x:font>
      <x:b/>
      <x:sz val="10"/>
      <x:color rgb="FFC00000"/>
      <x:name val="Arial"/>
    </x:font>
  </x:fonts>
  <x:fills count="5">
    <x:fill>
      <x:patternFill patternType="none"/>
    </x:fill>
    <x:fill>
      <x:patternFill patternType="gray125"/>
    </x:fill>
    <x:fill>
      <x:patternFill patternType="solid">
        <x:fgColor rgb="FF000000"/>
      </x:patternFill>
    </x:fill>
    <x:fill>
      <x:patternFill patternType="solid">
        <x:fgColor rgb="FFE7E6E6"/>
      </x:patternFill>
    </x:fill>
    <x:fill>
      <x:patternFill patternType="solid">
        <x:fgColor rgb="FFFFFFFF"/>
      </x:patternFill>
    </x:fill>
  </x:fills>
  <x:borders count="15">
    <x:border/>
    <x:border>
      <x:left style="thin">
        <x:color rgb="FFB4C6E7"/>
      </x:left>
      <x:right style="thin">
        <x:color rgb="FFB4C6E7"/>
      </x:right>
      <x:top style="thin">
        <x:color rgb="FFB4C6E7"/>
      </x:top>
      <x:bottom style="thin">
        <x:color rgb="FFB4C6E7"/>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D9E2F3"/>
      </x:left>
      <x:right style="thin">
        <x:color rgb="FFD9E2F3"/>
      </x:right>
      <x:top style="thin">
        <x:color rgb="FFD9E2F3"/>
      </x:top>
      <x:bottom style="thin">
        <x:color rgb="FFD9E2F3"/>
      </x:bottom>
    </x:border>
    <x:border>
      <x:left style="thin">
        <x:color rgb="FFA6A6A6"/>
      </x:left>
      <x:right style="thin">
        <x:color rgb="FFA6A6A6"/>
      </x:right>
      <x:top style="thin">
        <x:color rgb="FFA6A6A6"/>
      </x:top>
      <x:bottom style="thin">
        <x:color rgb="FFA6A6A6"/>
      </x:bottom>
    </x:border>
    <x:border>
      <x:left style="medium">
        <x:color rgb="FF000000"/>
      </x:left>
      <x:top style="medium">
        <x:color rgb="FF000000"/>
      </x:top>
      <x:bottom style="medium">
        <x:color rgb="FF000000"/>
      </x:bottom>
    </x:border>
    <x:border>
      <x:top style="medium">
        <x:color rgb="FF000000"/>
      </x:top>
      <x:bottom style="medium">
        <x:color rgb="FF000000"/>
      </x:bottom>
    </x:border>
    <x:border>
      <x:right style="medium">
        <x:color rgb="FF000000"/>
      </x:right>
      <x:top style="medium">
        <x:color rgb="FF000000"/>
      </x:top>
      <x:bottom style="medium">
        <x:color rgb="FF000000"/>
      </x:bottom>
    </x:border>
  </x:borders>
  <x:cellStyleXfs count="1">
    <x:xf numFmtId="0" fontId="0" fillId="0" borderId="0"/>
  </x:cellStyleXfs>
  <x:cellXfs count="11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200" fontId="4" fillId="4" borderId="1" xfId="0" applyNumberFormat="1" applyFont="1" applyFill="1" applyBorder="1"/>
    <x:xf numFmtId="201" fontId="4" fillId="4" borderId="1"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1" fillId="4" borderId="2" xfId="0" applyNumberFormat="1" applyFont="1" applyFill="1" applyBorder="1"/>
    <x:xf numFmtId="0" fontId="1" fillId="4" borderId="3" xfId="0" applyNumberFormat="1" applyFont="1" applyFill="1" applyBorder="1"/>
    <x:xf numFmtId="0" fontId="1" fillId="4" borderId="4" xfId="0" applyNumberFormat="1" applyFont="1" applyFill="1" applyBorder="1"/>
    <x:xf numFmtId="0" fontId="1" fillId="4" borderId="5" xfId="0" applyNumberFormat="1" applyFont="1" applyFill="1" applyBorder="1"/>
    <x:xf numFmtId="0" fontId="1" fillId="4" borderId="6" xfId="0" applyNumberFormat="1" applyFont="1" applyFill="1" applyBorder="1"/>
    <x:xf numFmtId="0" fontId="1" fillId="4" borderId="7" xfId="0" applyNumberFormat="1" applyFont="1" applyFill="1" applyBorder="1"/>
    <x:xf numFmtId="0" fontId="1" fillId="4" borderId="8" xfId="0" applyNumberFormat="1" applyFont="1" applyFill="1" applyBorder="1"/>
    <x:xf numFmtId="0" fontId="1" fillId="4" borderId="9" xfId="0" applyNumberFormat="1" applyFont="1" applyFill="1" applyBorder="1"/>
    <x:xf numFmtId="0" fontId="1" fillId="4" borderId="2" xfId="0" applyNumberFormat="1" applyFont="1" applyFill="1" applyBorder="1" applyAlignment="1">
      <x:alignment wrapText="1"/>
    </x:xf>
    <x:xf numFmtId="0" fontId="1" fillId="4" borderId="3" xfId="0" applyNumberFormat="1" applyFont="1" applyFill="1" applyBorder="1" applyAlignment="1">
      <x:alignment wrapText="1"/>
    </x:xf>
    <x:xf numFmtId="0" fontId="1" fillId="4" borderId="4" xfId="0" applyNumberFormat="1" applyFont="1" applyFill="1" applyBorder="1" applyAlignment="1">
      <x:alignment wrapText="1"/>
    </x:xf>
    <x:xf numFmtId="0" fontId="1" fillId="4" borderId="5"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6" xfId="0" applyNumberFormat="1" applyFont="1" applyFill="1" applyBorder="1" applyAlignment="1">
      <x:alignment wrapText="1"/>
    </x:xf>
    <x:xf numFmtId="0" fontId="1" fillId="4" borderId="7" xfId="0" applyNumberFormat="1" applyFont="1" applyFill="1" applyBorder="1" applyAlignment="1">
      <x:alignment wrapText="1"/>
    </x:xf>
    <x:xf numFmtId="0" fontId="1" fillId="4" borderId="8" xfId="0" applyNumberFormat="1" applyFont="1" applyFill="1" applyBorder="1" applyAlignment="1">
      <x:alignment wrapText="1"/>
    </x:xf>
    <x:xf numFmtId="0" fontId="1" fillId="4" borderId="9" xfId="0" applyNumberFormat="1" applyFont="1" applyFill="1" applyBorder="1" applyAlignment="1">
      <x:alignment wrapText="1"/>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0" borderId="10" xfId="0" applyNumberFormat="1" applyFont="1" applyFill="1" applyBorder="1"/>
    <x:xf numFmtId="0" fontId="1" fillId="0" borderId="10" xfId="0" applyNumberFormat="1" applyFont="1" applyFill="1" applyBorder="1" applyAlignment="1">
      <x:alignment wrapText="1"/>
    </x:xf>
    <x:xf numFmtId="0" fontId="1" fillId="0" borderId="10" xfId="0" applyNumberFormat="1" applyFont="1" applyFill="1" applyBorder="1" applyAlignment="1">
      <x:alignment vertical="top" wrapText="1"/>
    </x:xf>
    <x:xf numFmtId="0" fontId="1" fillId="0" borderId="11" xfId="0" applyNumberFormat="1" applyFont="1" applyFill="1" applyBorder="1"/>
    <x:xf numFmtId="0" fontId="1" fillId="0" borderId="11" xfId="0" applyNumberFormat="1" applyFont="1" applyFill="1" applyBorder="1" applyAlignment="1">
      <x:alignment wrapText="1"/>
    </x:xf>
    <x:xf numFmtId="0" fontId="1" fillId="4" borderId="11" xfId="0" applyNumberFormat="1" applyFont="1" applyFill="1" applyBorder="1" applyAlignment="1">
      <x:alignment wrapText="1"/>
    </x:xf>
    <x:xf numFmtId="0" fontId="1" fillId="3" borderId="11" xfId="0" applyNumberFormat="1" applyFont="1" applyFill="1" applyBorder="1" applyAlignment="1">
      <x:alignment wrapText="1"/>
    </x:xf>
    <x:xf numFmtId="0" fontId="1" fillId="2" borderId="11" xfId="0" applyNumberFormat="1" applyFont="1" applyFill="1" applyBorder="1" applyAlignment="1">
      <x:alignment wrapText="1"/>
    </x:xf>
    <x:xf numFmtId="0" fontId="6" fillId="2" borderId="11" xfId="0" applyNumberFormat="1" applyFont="1" applyFill="1" applyBorder="1" applyAlignment="1">
      <x:alignment wrapText="1"/>
    </x:xf>
    <x:xf numFmtId="0" fontId="1" fillId="4" borderId="11" xfId="0" applyNumberFormat="1" applyFont="1" applyFill="1" applyBorder="1"/>
    <x:xf numFmtId="0" fontId="1" fillId="4" borderId="11" xfId="0" applyNumberFormat="1" applyFont="1" applyFill="1" applyBorder="1" applyAlignment="1">
      <x:alignment vertical="top" wrapText="1"/>
    </x:xf>
    <x:xf numFmtId="0" fontId="7" fillId="4" borderId="11" xfId="0" applyNumberFormat="1" applyFont="1" applyFill="1" applyBorder="1" applyAlignment="1">
      <x:alignment vertical="top" wrapText="1"/>
    </x:xf>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3" fillId="0" borderId="2" xfId="0" applyNumberFormat="1" applyFont="1" applyFill="1" applyBorder="1"/>
    <x:xf numFmtId="0" fontId="3" fillId="0" borderId="7" xfId="0" applyNumberFormat="1" applyFont="1" applyFill="1" applyBorder="1"/>
    <x:xf numFmtId="0" fontId="3" fillId="0" borderId="3" xfId="0" applyNumberFormat="1" applyFont="1" applyFill="1" applyBorder="1"/>
    <x:xf numFmtId="0" fontId="3" fillId="0" borderId="8" xfId="0" applyNumberFormat="1" applyFont="1" applyFill="1" applyBorder="1"/>
    <x:xf numFmtId="0" fontId="1" fillId="3" borderId="3" xfId="0" applyNumberFormat="1" applyFont="1" applyFill="1" applyBorder="1"/>
    <x:xf numFmtId="0" fontId="3" fillId="3" borderId="3" xfId="0" applyNumberFormat="1" applyFont="1" applyFill="1" applyBorder="1"/>
    <x:xf numFmtId="0" fontId="1" fillId="3" borderId="8" xfId="0" applyNumberFormat="1" applyFont="1" applyFill="1" applyBorder="1"/>
    <x:xf numFmtId="0" fontId="3" fillId="3" borderId="8" xfId="0" applyNumberFormat="1" applyFont="1" applyFill="1" applyBorder="1"/>
    <x:xf numFmtId="0" fontId="4" fillId="3" borderId="3" xfId="0" applyNumberFormat="1" applyFont="1" applyFill="1" applyBorder="1"/>
    <x:xf numFmtId="0" fontId="4" fillId="3" borderId="8" xfId="0" applyNumberFormat="1" applyFont="1" applyFill="1" applyBorder="1"/>
    <x:xf numFmtId="0" fontId="4" fillId="4" borderId="9" xfId="0" applyNumberFormat="1" applyFont="1" applyFill="1" applyBorder="1"/>
    <x:xf numFmtId="200" fontId="4" fillId="3" borderId="3" xfId="0" applyNumberFormat="1" applyFont="1" applyFill="1" applyBorder="1"/>
    <x:xf numFmtId="201" fontId="4" fillId="3" borderId="8" xfId="0" applyNumberFormat="1" applyFont="1" applyFill="1" applyBorder="1"/>
    <x:xf numFmtId="201" fontId="3" fillId="3" borderId="8" xfId="0" applyNumberFormat="1" applyFont="1" applyFill="1" applyBorder="1"/>
    <x:xf numFmtId="0" fontId="4" fillId="4" borderId="11" xfId="0" applyNumberFormat="1" applyFont="1" applyFill="1" applyBorder="1"/>
    <x:xf numFmtId="0" fontId="4" fillId="4" borderId="11" xfId="0" applyNumberFormat="1" applyFont="1" applyFill="1" applyBorder="1" applyAlignment="1">
      <x:alignment wrapText="1"/>
    </x:xf>
    <x:xf numFmtId="0" fontId="4" fillId="4" borderId="11" xfId="0" applyNumberFormat="1" applyFont="1" applyFill="1" applyBorder="1" applyAlignment="1">
      <x:alignment vertical="top" wrapText="1"/>
    </x:xf>
    <x:xf numFmtId="0" fontId="4" fillId="3" borderId="0" xfId="0" applyNumberFormat="1" applyFont="1" applyFill="1" applyBorder="1"/>
    <x:xf numFmtId="201" fontId="4" fillId="4" borderId="0" xfId="0" applyNumberFormat="1" applyFont="1" applyFill="1" applyBorder="1"/>
    <x:xf numFmtId="201" fontId="4" fillId="3" borderId="0" xfId="0" applyNumberFormat="1" applyFont="1" applyFill="1" applyBorder="1"/>
    <x:xf numFmtId="0" fontId="5" fillId="2" borderId="10" xfId="0" applyNumberFormat="1" applyFont="1" applyFill="1" applyBorder="1" applyAlignment="1">
      <x:alignment horizontal="center" vertical="center" wrapText="1"/>
    </x:xf>
    <x:xf numFmtId="0" fontId="4" fillId="4" borderId="10" xfId="0" applyNumberFormat="1" applyFont="1" applyFill="1" applyBorder="1"/>
    <x:xf numFmtId="201" fontId="4" fillId="4" borderId="10" xfId="0" applyNumberFormat="1" applyFont="1" applyFill="1" applyBorder="1"/>
    <x:xf numFmtId="201" fontId="4" fillId="3" borderId="10" xfId="0" applyNumberFormat="1" applyFont="1" applyFill="1" applyBorder="1"/>
    <x:xf numFmtId="0" fontId="4" fillId="3" borderId="10" xfId="0" applyNumberFormat="1" applyFont="1" applyFill="1" applyBorder="1"/>
    <x:xf numFmtId="0" fontId="4" fillId="4" borderId="10" xfId="0" applyNumberFormat="1" applyFont="1" applyFill="1" applyBorder="1" applyAlignment="1">
      <x:alignment vertical="top"/>
    </x:xf>
    <x:xf numFmtId="201" fontId="4" fillId="4" borderId="10" xfId="0" applyNumberFormat="1" applyFont="1" applyFill="1" applyBorder="1" applyAlignment="1">
      <x:alignment vertical="top"/>
    </x:xf>
    <x:xf numFmtId="201" fontId="4" fillId="3" borderId="10" xfId="0" applyNumberFormat="1" applyFont="1" applyFill="1" applyBorder="1" applyAlignment="1">
      <x:alignment vertical="top"/>
    </x:xf>
    <x:xf numFmtId="0" fontId="4" fillId="3" borderId="10" xfId="0" applyNumberFormat="1" applyFont="1" applyFill="1" applyBorder="1" applyAlignment="1">
      <x:alignment vertical="top"/>
    </x:xf>
    <x:xf numFmtId="0" fontId="3" fillId="4" borderId="0" xfId="0" applyNumberFormat="1" applyFont="1" applyFill="1" applyBorder="1"/>
    <x:xf numFmtId="0" fontId="3" fillId="4" borderId="12" xfId="0" applyNumberFormat="1" applyFont="1" applyFill="1" applyBorder="1"/>
    <x:xf numFmtId="0" fontId="3" fillId="4" borderId="13" xfId="0" applyNumberFormat="1" applyFont="1" applyFill="1" applyBorder="1"/>
    <x:xf numFmtId="0" fontId="3" fillId="4" borderId="14" xfId="0" applyNumberFormat="1" applyFont="1" applyFill="1" applyBorder="1"/>
    <x:xf numFmtId="0" fontId="3" fillId="4" borderId="12" xfId="0" applyNumberFormat="1" applyFont="1" applyFill="1" applyBorder="1" applyAlignment="1">
      <x:alignment wrapText="1"/>
    </x:xf>
    <x:xf numFmtId="0" fontId="3" fillId="4" borderId="13" xfId="0" applyNumberFormat="1" applyFont="1" applyFill="1" applyBorder="1" applyAlignment="1">
      <x:alignment wrapText="1"/>
    </x:xf>
    <x:xf numFmtId="0" fontId="3" fillId="4" borderId="14" xfId="0" applyNumberFormat="1" applyFont="1" applyFill="1" applyBorder="1" applyAlignment="1">
      <x:alignment wrapText="1"/>
    </x:xf>
    <x:xf numFmtId="0" fontId="4" fillId="4" borderId="8" xfId="0" applyNumberFormat="1" applyFont="1" applyFill="1" applyBorder="1"/>
    <x:xf numFmtId="200" fontId="4" fillId="4" borderId="0" xfId="0" applyNumberFormat="1" applyFont="1" applyFill="1" applyBorder="1"/>
    <x:xf numFmtId="200" fontId="4" fillId="4" borderId="10" xfId="0" applyNumberFormat="1" applyFont="1" applyFill="1" applyBorder="1"/>
    <x:xf numFmtId="200" fontId="4" fillId="4" borderId="10" xfId="0" applyNumberFormat="1" applyFont="1" applyFill="1" applyBorder="1" applyAlignment="1">
      <x:alignment vertical="top"/>
    </x:xf>
    <x:xf numFmtId="202" fontId="4" fillId="4" borderId="0" xfId="0" applyNumberFormat="1" applyFont="1" applyFill="1" applyBorder="1"/>
    <x:xf numFmtId="203" fontId="4" fillId="4" borderId="0" xfId="0" applyNumberFormat="1" applyFont="1" applyFill="1" applyBorder="1"/>
    <x:xf numFmtId="202" fontId="4" fillId="4" borderId="10" xfId="0" applyNumberFormat="1" applyFont="1" applyFill="1" applyBorder="1"/>
    <x:xf numFmtId="203" fontId="4" fillId="4" borderId="10" xfId="0" applyNumberFormat="1" applyFont="1" applyFill="1" applyBorder="1"/>
    <x:xf numFmtId="202" fontId="4" fillId="4" borderId="10" xfId="0" applyNumberFormat="1" applyFont="1" applyFill="1" applyBorder="1" applyAlignment="1">
      <x:alignment vertical="top"/>
    </x:xf>
    <x:xf numFmtId="203" fontId="4" fillId="4" borderId="10" xfId="0" applyNumberFormat="1" applyFont="1" applyFill="1" applyBorder="1" applyAlignment="1">
      <x:alignment vertical="top"/>
    </x:xf>
    <x:xf numFmtId="0" fontId="4" fillId="4" borderId="10" xfId="0" applyNumberFormat="1" applyFont="1" applyFill="1" applyBorder="1" applyAlignment="1">
      <x:alignment vertical="top" wrapText="1"/>
    </x:xf>
    <x:xf numFmtId="201" fontId="4" fillId="4" borderId="10" xfId="0" applyNumberFormat="1" applyFont="1" applyFill="1" applyBorder="1" applyAlignment="1">
      <x:alignment vertical="top" wrapText="1"/>
    </x:xf>
    <x:xf numFmtId="201" fontId="4" fillId="3" borderId="10" xfId="0" applyNumberFormat="1" applyFont="1" applyFill="1" applyBorder="1" applyAlignment="1">
      <x:alignment vertical="top" wrapText="1"/>
    </x:xf>
    <x:xf numFmtId="0" fontId="4" fillId="3" borderId="10" xfId="0" applyNumberFormat="1" applyFont="1" applyFill="1" applyBorder="1" applyAlignment="1">
      <x:alignment vertical="top" wrapText="1"/>
    </x:xf>
    <x:xf numFmtId="200" fontId="4" fillId="4" borderId="10" xfId="0" applyNumberFormat="1" applyFont="1" applyFill="1" applyBorder="1" applyAlignment="1">
      <x:alignment vertical="top" wrapText="1"/>
    </x:xf>
    <x:xf numFmtId="202" fontId="4" fillId="4" borderId="10" xfId="0" applyNumberFormat="1" applyFont="1" applyFill="1" applyBorder="1" applyAlignment="1">
      <x:alignment vertical="top" wrapText="1"/>
    </x:xf>
    <x:xf numFmtId="203" fontId="4" fillId="4" borderId="10" xfId="0" applyNumberFormat="1" applyFont="1" applyFill="1" applyBorder="1" applyAlignment="1">
      <x:alignment vertical="top" wrapText="1"/>
    </x:xf>
  </x:cellXfs>
  <x:cellStyles count="1">
    <x:cellStyle name="Normal" xfId="0"/>
  </x:cellStyles>
  <x:dxfs count="18">
    <x:dxf>
      <x:font>
        <x:b/>
        <x:color rgb="FF9C0006"/>
      </x:font>
      <x:fill>
        <x:patternFill patternType="solid">
          <x:bgColor rgb="FFD9D9D9"/>
        </x:patternFill>
      </x:fill>
    </x:dxf>
    <x:dxf>
      <x:font>
        <x:b/>
        <x:color rgb="FF9C0006"/>
      </x:font>
      <x:fill>
        <x:patternFill patternType="solid">
          <x:bgColor rgb="FFD9D9D9"/>
        </x:patternFill>
      </x:fill>
    </x:dxf>
    <x:dxf>
      <x:font>
        <x:b/>
        <x:color rgb="FF000000"/>
      </x:font>
      <x:fill>
        <x:patternFill patternType="solid">
          <x:bgColor rgb="FFD9D9D9"/>
        </x:patternFill>
      </x:fill>
    </x:dxf>
    <x:dxf>
      <x:font>
        <x:color rgb="FF000000"/>
      </x:font>
      <x:fill>
        <x:patternFill patternType="solid">
          <x:bgColor rgb="FFE7E6E6"/>
        </x:patternFill>
      </x:fill>
    </x:dxf>
    <x:dxf>
      <x:font>
        <x:b/>
        <x:color rgb="FF000000"/>
      </x:font>
      <x:fill>
        <x:patternFill patternType="solid">
          <x:bgColor rgb="FFD9D9D9"/>
        </x:patternFill>
      </x:fill>
    </x:dxf>
    <x:dxf>
      <x:font>
        <x:color rgb="FF000000"/>
      </x:font>
      <x:fill>
        <x:patternFill patternType="solid">
          <x:bgColor rgb="FFE7E6E6"/>
        </x:patternFill>
      </x:fill>
    </x:dxf>
    <x:dxf>
      <x:font>
        <x:b/>
        <x:color rgb="FF000000"/>
      </x:font>
      <x:fill>
        <x:patternFill patternType="solid">
          <x:bgColor rgb="FFD9D9D9"/>
        </x:patternFill>
      </x:fill>
    </x:dxf>
    <x:dxf>
      <x:font>
        <x:color rgb="FF000000"/>
      </x:font>
      <x:fill>
        <x:patternFill patternType="solid">
          <x:bgColor rgb="FFE7E6E6"/>
        </x:patternFill>
      </x:fill>
    </x:dxf>
    <x:dxf>
      <x:font>
        <x:b/>
        <x:color rgb="FF000000"/>
      </x:font>
      <x:fill>
        <x:patternFill patternType="solid">
          <x:bgColor rgb="FFD9D9D9"/>
        </x:patternFill>
      </x:fill>
    </x:dxf>
    <x:dxf>
      <x:font>
        <x:color rgb="FF000000"/>
      </x:font>
      <x:fill>
        <x:patternFill patternType="solid">
          <x:bgColor rgb="FFE7E6E6"/>
        </x:patternFill>
      </x:fill>
    </x:dxf>
    <x:dxf>
      <x:font>
        <x:b/>
        <x:color rgb="FF000000"/>
      </x:font>
      <x:fill>
        <x:patternFill patternType="solid">
          <x:bgColor rgb="FFD9D9D9"/>
        </x:patternFill>
      </x:fill>
    </x:dxf>
    <x:dxf>
      <x:font>
        <x:color rgb="FF000000"/>
      </x:font>
      <x:fill>
        <x:patternFill patternType="solid">
          <x:bgColor rgb="FFE7E6E6"/>
        </x:patternFill>
      </x:fill>
    </x:dxf>
    <x:dxf>
      <x:font>
        <x:b/>
        <x:color rgb="FF000000"/>
      </x:font>
      <x:fill>
        <x:patternFill patternType="solid">
          <x:bgColor rgb="FFD9D9D9"/>
        </x:patternFill>
      </x:fill>
    </x:dxf>
    <x:dxf>
      <x:font>
        <x:color rgb="FF000000"/>
      </x:font>
      <x:fill>
        <x:patternFill patternType="solid">
          <x:bgColor rgb="FFE7E6E6"/>
        </x:patternFill>
      </x:fill>
    </x:dxf>
    <x:dxf>
      <x:font>
        <x:b/>
        <x:color rgb="FF000000"/>
      </x:font>
      <x:fill>
        <x:patternFill patternType="solid">
          <x:bgColor rgb="FFD9D9D9"/>
        </x:patternFill>
      </x:fill>
    </x:dxf>
    <x:dxf>
      <x:font>
        <x:color rgb="FF000000"/>
      </x:font>
      <x:fill>
        <x:patternFill patternType="solid">
          <x:bgColor rgb="FFE7E6E6"/>
        </x:patternFill>
      </x:fill>
    </x:dxf>
    <x:dxf>
      <x:font>
        <x:b/>
        <x:color rgb="FF000000"/>
      </x:font>
      <x:fill>
        <x:patternFill patternType="solid">
          <x:bgColor rgb="FFD9D9D9"/>
        </x:patternFill>
      </x:fill>
    </x:dxf>
    <x:dxf>
      <x:font>
        <x:color rgb="FF000000"/>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68093548594d63" /><Relationship Type="http://schemas.openxmlformats.org/officeDocument/2006/relationships/theme" Target="/xl/theme/theme1.xml" Id="R68d27d003e3e4d11" /><Relationship Type="http://schemas.openxmlformats.org/officeDocument/2006/relationships/sharedStrings" Target="/xl/sharedStrings.xml" Id="R691899bb42354a00" /><Relationship Type="http://schemas.openxmlformats.org/officeDocument/2006/relationships/worksheet" Target="/xl/worksheets/sheet1.xml" Id="R6d8d135389d64d3c" /><Relationship Type="http://schemas.openxmlformats.org/officeDocument/2006/relationships/worksheet" Target="/xl/worksheets/sheet2.xml" Id="Rcf05eee1e31e488e" /><Relationship Type="http://schemas.openxmlformats.org/officeDocument/2006/relationships/worksheet" Target="/xl/worksheets/sheet3.xml" Id="R55e3bda19f944022" /><Relationship Type="http://schemas.openxmlformats.org/officeDocument/2006/relationships/worksheet" Target="/xl/worksheets/sheet4.xml" Id="R56ccdbe471544cc1" /><Relationship Type="http://schemas.openxmlformats.org/officeDocument/2006/relationships/worksheet" Target="/xl/worksheets/sheet5.xml" Id="R0e01523216f24908" /><Relationship Type="http://schemas.openxmlformats.org/officeDocument/2006/relationships/worksheet" Target="/xl/worksheets/sheet6.xml" Id="Rb98e1f6c5a8542f0" /><Relationship Type="http://schemas.openxmlformats.org/officeDocument/2006/relationships/worksheet" Target="/xl/worksheets/sheet7.xml" Id="Rd765cc4e2b8b4294" /><Relationship Type="http://schemas.openxmlformats.org/officeDocument/2006/relationships/worksheet" Target="/xl/worksheets/sheet8.xml" Id="Rf51353719907414f" /><Relationship Type="http://schemas.openxmlformats.org/officeDocument/2006/relationships/worksheet" Target="/xl/worksheets/sheet9.xml" Id="Rc3d23217e317436d" /><Relationship Type="http://schemas.openxmlformats.org/officeDocument/2006/relationships/worksheet" Target="/xl/worksheets/sheet10.xml" Id="Rc8823c86bfd0461c" /><Relationship Type="http://schemas.openxmlformats.org/officeDocument/2006/relationships/worksheet" Target="/xl/worksheets/sheet11.xml" Id="R0c736a3a2c1943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3" hidden="0" customWidth="1"/>
    <x:col min="4" max="4" width="11" hidden="0" customWidth="1"/>
    <x:col min="5" max="5" width="30" hidden="0" customWidth="1"/>
    <x:col min="6" max="6" width="14" hidden="0" customWidth="1"/>
    <x:col min="7" max="7" width="34" hidden="0" customWidth="1"/>
    <x:col min="8" max="8" width="14" hidden="0" customWidth="1"/>
    <x:col min="9" max="9" width="14" hidden="0" customWidth="1"/>
    <x:col min="10" max="10" width="14" hidden="0" customWidth="1"/>
  </x:cols>
  <x:sheetData>
    <x:row r="1" ht="24" customHeight="1">
      <x:c r="A1" s="4" t="str">
        <x:v>E - Trade Receivables | General</x:v>
      </x:c>
      <x:c r="B1" s="4"/>
      <x:c r="C1" s="4"/>
      <x:c r="D1" s="4"/>
      <x:c r="E1" s="4"/>
      <x:c r="F1" s="4"/>
      <x:c r="G1" s="4"/>
      <x:c r="H1" s="4"/>
      <x:c r="I1" s="4"/>
      <x:c r="J1" s="4"/>
    </x:row>
    <x:row r="2">
      <x:c r="A2" s="1"/>
      <x:c r="B2" s="1"/>
      <x:c r="C2" s="1"/>
      <x:c r="D2" s="1"/>
      <x:c r="E2" s="1"/>
      <x:c r="F2" s="1"/>
      <x:c r="G2" s="1"/>
      <x:c r="H2" s="1"/>
      <x:c r="I2" s="1"/>
      <x:c r="J2" s="1"/>
    </x:row>
    <x:row r="3">
      <x:c r="A3" s="7" t="str">
        <x:v>Entity name</x:v>
      </x:c>
      <x:c r="B3" s="10" t="str">
        <x:v>[Enter entity name]</x:v>
      </x:c>
      <x:c r="C3" s="1"/>
      <x:c r="D3" s="17" t="str">
        <x:v>Purpose and use</x:v>
      </x:c>
      <x:c r="E3" s="17"/>
      <x:c r="F3" s="17"/>
      <x:c r="G3" s="17"/>
      <x:c r="H3" s="17"/>
      <x:c r="I3" s="17"/>
      <x:c r="J3" s="17"/>
    </x:row>
    <x:row r="4">
      <x:c r="A4" s="7" t="str">
        <x:v>Period end</x:v>
      </x:c>
      <x:c r="B4" s="11"/>
      <x:c r="C4" s="1"/>
      <x:c r="D4" s="35" t="str">
        <x:v>Enter recurring engagement information once on this tab. All E-series PSP tabs link to these cells. The procedures are templates and must be tailored to the engagement's assessed risks, reporting framework, and approved firm methodology.</x:v>
      </x:c>
      <x:c r="E4" s="36"/>
      <x:c r="F4" s="36"/>
      <x:c r="G4" s="36"/>
      <x:c r="H4" s="36"/>
      <x:c r="I4" s="36"/>
      <x:c r="J4" s="37"/>
    </x:row>
    <x:row r="5">
      <x:c r="A5" s="7" t="str">
        <x:v>Currency</x:v>
      </x:c>
      <x:c r="B5" s="10" t="str">
        <x:v>GBP</x:v>
      </x:c>
      <x:c r="C5" s="1"/>
      <x:c r="D5" s="38"/>
      <x:c r="E5" s="39"/>
      <x:c r="F5" s="39"/>
      <x:c r="G5" s="39"/>
      <x:c r="H5" s="39"/>
      <x:c r="I5" s="39"/>
      <x:c r="J5" s="40"/>
    </x:row>
    <x:row r="6">
      <x:c r="A6" s="7" t="str">
        <x:v>Prepared by</x:v>
      </x:c>
      <x:c r="B6" s="10" t="str">
        <x:v>[Name / date]</x:v>
      </x:c>
      <x:c r="C6" s="1"/>
      <x:c r="D6" s="41"/>
      <x:c r="E6" s="42"/>
      <x:c r="F6" s="42"/>
      <x:c r="G6" s="42"/>
      <x:c r="H6" s="42"/>
      <x:c r="I6" s="42"/>
      <x:c r="J6" s="43"/>
    </x:row>
    <x:row r="7">
      <x:c r="A7" s="7" t="str">
        <x:v>Reviewed by</x:v>
      </x:c>
      <x:c r="B7" s="10" t="str">
        <x:v>[Name / date]</x:v>
      </x:c>
      <x:c r="C7" s="1"/>
      <x:c r="D7" s="1"/>
      <x:c r="E7" s="1"/>
      <x:c r="F7" s="1"/>
      <x:c r="G7" s="1"/>
      <x:c r="H7" s="1"/>
      <x:c r="I7" s="1"/>
      <x:c r="J7" s="1"/>
    </x:row>
    <x:row r="8">
      <x:c r="A8" s="7" t="str">
        <x:v>Working paper reference</x:v>
      </x:c>
      <x:c r="B8" s="10" t="str">
        <x:v>E</x:v>
      </x:c>
      <x:c r="C8" s="1"/>
      <x:c r="D8" s="17" t="str">
        <x:v>PSP index identified from ALL PSP.pdf - Table 3: E, Accounts receivable trade</x:v>
      </x:c>
      <x:c r="E8" s="17"/>
      <x:c r="F8" s="17"/>
      <x:c r="G8" s="17"/>
      <x:c r="H8" s="17"/>
      <x:c r="I8" s="17"/>
      <x:c r="J8" s="17"/>
    </x:row>
    <x:row r="9">
      <x:c r="A9" s="7" t="str">
        <x:v>Planning materiality</x:v>
      </x:c>
      <x:c r="B9" s="12"/>
      <x:c r="C9" s="1"/>
      <x:c r="D9" s="44" t="str">
        <x:v>E-1</x:v>
      </x:c>
      <x:c r="E9" s="44" t="str">
        <x:v>Agreement of subledger with general ledger</x:v>
      </x:c>
      <x:c r="F9" s="44" t="str">
        <x:v>C / E</x:v>
      </x:c>
      <x:c r="G9" s="44" t="str">
        <x:v>Reconcile and investigate unusual items</x:v>
      </x:c>
      <x:c r="H9" s="1"/>
      <x:c r="I9" s="1"/>
      <x:c r="J9" s="1"/>
    </x:row>
    <x:row r="10">
      <x:c r="A10" s="7" t="str">
        <x:v>Tolerable error</x:v>
      </x:c>
      <x:c r="B10" s="12"/>
      <x:c r="C10" s="1"/>
      <x:c r="D10" s="44" t="str">
        <x:v>E-2</x:v>
      </x:c>
      <x:c r="E10" s="44" t="str">
        <x:v>Confirmations and subsequent cash receipts</x:v>
      </x:c>
      <x:c r="F10" s="44" t="str">
        <x:v>E / R&amp;O</x:v>
      </x:c>
      <x:c r="G10" s="44" t="str">
        <x:v>Verify existence through confirmations or alternatives</x:v>
      </x:c>
      <x:c r="H10" s="1"/>
      <x:c r="I10" s="1"/>
      <x:c r="J10" s="1"/>
    </x:row>
    <x:row r="11">
      <x:c r="A11" s="7" t="str">
        <x:v>SAD nominal amount</x:v>
      </x:c>
      <x:c r="B11" s="12"/>
      <x:c r="C11" s="1"/>
      <x:c r="D11" s="44" t="str">
        <x:v>E-3</x:v>
      </x:c>
      <x:c r="E11" s="44" t="str">
        <x:v>Roll-forward procedures</x:v>
      </x:c>
      <x:c r="F11" s="44" t="str">
        <x:v>C / E / V</x:v>
      </x:c>
      <x:c r="G11" s="44" t="str">
        <x:v>Bridge interim testing to the balance-sheet date</x:v>
      </x:c>
      <x:c r="H11" s="1"/>
      <x:c r="I11" s="1"/>
      <x:c r="J11" s="1"/>
    </x:row>
    <x:row r="12">
      <x:c r="A12" s="1"/>
      <x:c r="B12" s="1"/>
      <x:c r="C12" s="1"/>
      <x:c r="D12" s="44" t="str">
        <x:v>E-4</x:v>
      </x:c>
      <x:c r="E12" s="44" t="str">
        <x:v>Accounts receivable cut-off</x:v>
      </x:c>
      <x:c r="F12" s="44" t="str">
        <x:v>C / E</x:v>
      </x:c>
      <x:c r="G12" s="44" t="str">
        <x:v>Test transactions before and after year-end</x:v>
      </x:c>
      <x:c r="H12" s="1"/>
      <x:c r="I12" s="1"/>
      <x:c r="J12" s="1"/>
    </x:row>
    <x:row r="13">
      <x:c r="A13" s="1"/>
      <x:c r="B13" s="1"/>
      <x:c r="C13" s="1"/>
      <x:c r="D13" s="44" t="str">
        <x:v>E-5</x:v>
      </x:c>
      <x:c r="E13" s="44" t="str">
        <x:v>Allowance for doubtful accounts</x:v>
      </x:c>
      <x:c r="F13" s="44" t="str">
        <x:v>V</x:v>
      </x:c>
      <x:c r="G13" s="44" t="str">
        <x:v>Evaluate methodology and adequacy of allowance</x:v>
      </x:c>
      <x:c r="H13" s="1"/>
      <x:c r="I13" s="1"/>
      <x:c r="J13" s="1"/>
    </x:row>
    <x:row r="14">
      <x:c r="A14" s="1"/>
      <x:c r="B14" s="1"/>
      <x:c r="C14" s="1"/>
      <x:c r="D14" s="44" t="str">
        <x:v>E-6</x:v>
      </x:c>
      <x:c r="E14" s="44" t="str">
        <x:v>Other adjustments to receivables</x:v>
      </x:c>
      <x:c r="F14" s="44" t="str">
        <x:v>V / P&amp;D</x:v>
      </x:c>
      <x:c r="G14" s="44" t="str">
        <x:v>Test rebates, credits, discounts and other adjustments</x:v>
      </x:c>
      <x:c r="H14" s="1"/>
      <x:c r="I14" s="1"/>
      <x:c r="J14" s="1"/>
    </x:row>
    <x:row r="15">
      <x:c r="A15" s="1"/>
      <x:c r="B15" s="1"/>
      <x:c r="C15" s="1"/>
      <x:c r="D15" s="44" t="str">
        <x:v>E-7</x:v>
      </x:c>
      <x:c r="E15" s="44" t="str">
        <x:v>Receivables in foreign currencies</x:v>
      </x:c>
      <x:c r="F15" s="44" t="str">
        <x:v>V</x:v>
      </x:c>
      <x:c r="G15" s="44" t="str">
        <x:v>Test translation and completeness</x:v>
      </x:c>
      <x:c r="H15" s="1"/>
      <x:c r="I15" s="1"/>
      <x:c r="J15" s="1"/>
    </x:row>
    <x:row r="16">
      <x:c r="A16" s="1"/>
      <x:c r="B16" s="1"/>
      <x:c r="C16" s="1"/>
      <x:c r="D16" s="44" t="str">
        <x:v>E-8</x:v>
      </x:c>
      <x:c r="E16" s="44" t="str">
        <x:v>Credit balances and unusual items</x:v>
      </x:c>
      <x:c r="F16" s="44" t="str">
        <x:v>C / E / V / P&amp;D</x:v>
      </x:c>
      <x:c r="G16" s="44" t="str">
        <x:v>Investigate and classify unusual or credit balances</x:v>
      </x:c>
      <x:c r="H16" s="1"/>
      <x:c r="I16" s="1"/>
      <x:c r="J16" s="1"/>
    </x:row>
    <x:row r="17">
      <x:c r="A17" s="1"/>
      <x:c r="B17" s="1"/>
      <x:c r="C17" s="1"/>
      <x:c r="D17" s="1"/>
      <x:c r="E17" s="1"/>
      <x:c r="F17" s="1"/>
      <x:c r="G17" s="1"/>
      <x:c r="H17" s="1"/>
      <x:c r="I17" s="1"/>
      <x:c r="J17" s="1"/>
    </x:row>
    <x:row r="18">
      <x:c r="A18"/>
      <x:c r="B18"/>
      <x:c r="C18"/>
      <x:c r="D18"/>
      <x:c r="E18"/>
      <x:c r="F18"/>
      <x:c r="G18"/>
      <x:c r="H18"/>
      <x:c r="I18"/>
      <x:c r="J18"/>
    </x:row>
    <x:row r="19">
      <x:c r="A19"/>
      <x:c r="B19"/>
      <x:c r="C19"/>
      <x:c r="D19"/>
      <x:c r="E19"/>
      <x:c r="F19"/>
      <x:c r="G19"/>
      <x:c r="H19"/>
      <x:c r="I19"/>
      <x:c r="J19"/>
    </x:row>
    <x:row r="20">
      <x:c r="A20"/>
      <x:c r="B20"/>
      <x:c r="C20"/>
      <x:c r="D20"/>
      <x:c r="E20"/>
      <x:c r="F20"/>
      <x:c r="G20"/>
      <x:c r="H20"/>
      <x:c r="I20"/>
      <x:c r="J20"/>
    </x:row>
    <x:row r="21">
      <x:c r="A21"/>
      <x:c r="B21"/>
      <x:c r="C21"/>
      <x:c r="D21"/>
      <x:c r="E21"/>
      <x:c r="F21"/>
      <x:c r="G21"/>
      <x:c r="H21"/>
      <x:c r="I21"/>
      <x:c r="J21"/>
    </x:row>
    <x:row r="22">
      <x:c r="A22"/>
      <x:c r="B22"/>
      <x:c r="C22"/>
      <x:c r="D22"/>
      <x:c r="E22"/>
      <x:c r="F22"/>
      <x:c r="G22"/>
      <x:c r="H22"/>
      <x:c r="I22"/>
      <x:c r="J22"/>
    </x:row>
    <x:row r="23">
      <x:c r="A23"/>
      <x:c r="B23"/>
      <x:c r="C23"/>
      <x:c r="D23"/>
      <x:c r="E23"/>
      <x:c r="F23"/>
      <x:c r="G23"/>
      <x:c r="H23"/>
      <x:c r="I23"/>
      <x:c r="J23"/>
    </x:row>
    <x:row r="24">
      <x:c r="A24"/>
      <x:c r="B24"/>
      <x:c r="C24"/>
      <x:c r="D24"/>
      <x:c r="E24"/>
      <x:c r="F24"/>
      <x:c r="G24"/>
      <x:c r="H24"/>
      <x:c r="I24"/>
      <x:c r="J24"/>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sheetData>
  <x:mergeCells>
    <x:mergeCell ref="A1:J1"/>
    <x:mergeCell ref="D3:J3"/>
    <x:mergeCell ref="D4:J6"/>
    <x:mergeCell ref="D8:J8"/>
    <x:mergeCell ref="A18:J18"/>
    <x:mergeCell ref="B23:J23"/>
    <x:mergeCell ref="B24:J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32" hidden="0" customWidth="1"/>
    <x:col min="4" max="4" width="18" hidden="0" customWidth="1"/>
    <x:col min="5" max="5" width="3" hidden="0" customWidth="1"/>
    <x:col min="6" max="6" width="18" hidden="0" customWidth="1"/>
    <x:col min="7" max="7" width="18" hidden="0" customWidth="1"/>
    <x:col min="8" max="8" width="18" hidden="0" customWidth="1"/>
    <x:col min="9" max="9" width="18" hidden="0" customWidth="1"/>
    <x:col min="10" max="10" width="18" hidden="0" customWidth="1"/>
  </x:cols>
  <x:sheetData>
    <x:row r="1" ht="24" customHeight="1">
      <x:c r="A1" s="4" t="str">
        <x:v>E - Trade Receivables | Help</x:v>
      </x:c>
      <x:c r="B1" s="4"/>
      <x:c r="C1" s="4"/>
      <x:c r="D1" s="4"/>
      <x:c r="E1" s="4"/>
      <x:c r="F1" s="4"/>
      <x:c r="G1" s="4"/>
      <x:c r="H1" s="4"/>
      <x:c r="I1" s="4"/>
      <x:c r="J1" s="4"/>
    </x:row>
    <x:row r="2">
      <x:c r="A2" s="1"/>
      <x:c r="B2" s="1"/>
      <x:c r="C2" s="1"/>
      <x:c r="D2" s="1"/>
      <x:c r="E2" s="1"/>
      <x:c r="F2" s="1"/>
      <x:c r="G2" s="1"/>
      <x:c r="H2" s="1"/>
      <x:c r="I2" s="1"/>
      <x:c r="J2" s="1"/>
    </x:row>
    <x:row r="3">
      <x:c r="A3" s="17" t="str">
        <x:v>How to use this workbook</x:v>
      </x:c>
      <x:c r="B3" s="17"/>
      <x:c r="C3" s="17"/>
      <x:c r="D3" s="17"/>
      <x:c r="E3" s="17"/>
      <x:c r="F3" s="17"/>
      <x:c r="G3" s="17"/>
      <x:c r="H3" s="17"/>
      <x:c r="I3" s="17"/>
      <x:c r="J3" s="17"/>
    </x:row>
    <x:row r="4">
      <x:c r="A4" s="35" t="str">
        <x:v>1. Complete recurring engagement information on General.  2. Tailor each PSP to the assessed risks and assertions.  3. Enter audit evidence only in white cells; light-grey cells contain formulas and should not be overwritten.  4. Select a standard tickmark from the dropdown in each Tickmarks column and document evidence references where the meaning is not self-evident.  5. Resolve exceptions, quantify misstatements against SAD and tolerable error, cross-reference supporting evidence, and complete the conclusion and review sign-off.</x:v>
      </x:c>
      <x:c r="B4" s="36"/>
      <x:c r="C4" s="36"/>
      <x:c r="D4" s="36"/>
      <x:c r="E4" s="36"/>
      <x:c r="F4" s="36"/>
      <x:c r="G4" s="36"/>
      <x:c r="H4" s="36"/>
      <x:c r="I4" s="36"/>
      <x:c r="J4" s="37"/>
    </x:row>
    <x:row r="5">
      <x:c r="A5" s="38"/>
      <x:c r="B5" s="39"/>
      <x:c r="C5" s="39"/>
      <x:c r="D5" s="39"/>
      <x:c r="E5" s="39"/>
      <x:c r="F5" s="39"/>
      <x:c r="G5" s="39"/>
      <x:c r="H5" s="39"/>
      <x:c r="I5" s="39"/>
      <x:c r="J5" s="40"/>
    </x:row>
    <x:row r="6">
      <x:c r="A6" s="38"/>
      <x:c r="B6" s="39"/>
      <x:c r="C6" s="39"/>
      <x:c r="D6" s="39"/>
      <x:c r="E6" s="39"/>
      <x:c r="F6" s="39"/>
      <x:c r="G6" s="39"/>
      <x:c r="H6" s="39"/>
      <x:c r="I6" s="39"/>
      <x:c r="J6" s="40"/>
    </x:row>
    <x:row r="7">
      <x:c r="A7" s="38"/>
      <x:c r="B7" s="39"/>
      <x:c r="C7" s="39"/>
      <x:c r="D7" s="39"/>
      <x:c r="E7" s="39"/>
      <x:c r="F7" s="39"/>
      <x:c r="G7" s="39"/>
      <x:c r="H7" s="39"/>
      <x:c r="I7" s="39"/>
      <x:c r="J7" s="40"/>
    </x:row>
    <x:row r="8">
      <x:c r="A8" s="41"/>
      <x:c r="B8" s="42"/>
      <x:c r="C8" s="42"/>
      <x:c r="D8" s="42"/>
      <x:c r="E8" s="42"/>
      <x:c r="F8" s="42"/>
      <x:c r="G8" s="42"/>
      <x:c r="H8" s="42"/>
      <x:c r="I8" s="42"/>
      <x:c r="J8" s="43"/>
    </x:row>
    <x:row r="9">
      <x:c r="A9" s="1"/>
      <x:c r="B9" s="1"/>
      <x:c r="C9" s="1"/>
      <x:c r="D9" s="1"/>
      <x:c r="E9" s="1"/>
      <x:c r="F9" s="1"/>
      <x:c r="G9" s="1"/>
      <x:c r="H9" s="1"/>
      <x:c r="I9" s="1"/>
      <x:c r="J9" s="1"/>
    </x:row>
    <x:row r="10">
      <x:c r="A10" s="17" t="str">
        <x:v>Cell style</x:v>
      </x:c>
      <x:c r="B10" s="17" t="str">
        <x:v>Meaning</x:v>
      </x:c>
      <x:c r="C10" s="17" t="str">
        <x:v>User action</x:v>
      </x:c>
      <x:c r="D10" s="17" t="str">
        <x:v>Control</x:v>
      </x:c>
      <x:c r="E10" s="1"/>
      <x:c r="F10" s="17" t="str">
        <x:v>Tickmark control</x:v>
      </x:c>
      <x:c r="G10" s="17"/>
      <x:c r="H10" s="17"/>
      <x:c r="I10" s="17"/>
      <x:c r="J10" s="17"/>
    </x:row>
    <x:row r="11" ht="30" customHeight="1">
      <x:c r="A11" s="49" t="str">
        <x:v>White</x:v>
      </x:c>
      <x:c r="B11" s="49" t="str">
        <x:v>Input / documentation cell</x:v>
      </x:c>
      <x:c r="C11" s="49" t="str">
        <x:v>Enter evidence, values, explanations or references</x:v>
      </x:c>
      <x:c r="D11" s="49" t="str">
        <x:v>Preparer-owned</x:v>
      </x:c>
      <x:c r="E11" s="1"/>
      <x:c r="F11" s="35" t="str">
        <x:v>The approved dropdown list is maintained on the next tab, Tickmarks. Each code has one unambiguous meaning. Symbols that conflicted across the supplied examples were standardised: C means calculation/casting checked, while CONF means confirmation evidence obtained. If the engagement's methodology mandates different symbols, update the Tickmarks tab and the dropdown source consistently.</x:v>
      </x:c>
      <x:c r="G11" s="36"/>
      <x:c r="H11" s="36"/>
      <x:c r="I11" s="36"/>
      <x:c r="J11" s="37"/>
    </x:row>
    <x:row r="12" ht="30" customHeight="1">
      <x:c r="A12" s="50" t="str">
        <x:v>Light grey</x:v>
      </x:c>
      <x:c r="B12" s="50" t="str">
        <x:v>Calculated or linked cell</x:v>
      </x:c>
      <x:c r="C12" s="50" t="str">
        <x:v>Do not overwrite</x:v>
      </x:c>
      <x:c r="D12" s="50" t="str">
        <x:v>Formula-controlled</x:v>
      </x:c>
      <x:c r="E12" s="1"/>
      <x:c r="F12" s="38"/>
      <x:c r="G12" s="39"/>
      <x:c r="H12" s="39"/>
      <x:c r="I12" s="39"/>
      <x:c r="J12" s="40"/>
    </x:row>
    <x:row r="13" ht="30" customHeight="1">
      <x:c r="A13" s="52" t="str">
        <x:v>Black with white text</x:v>
      </x:c>
      <x:c r="B13" s="52" t="str">
        <x:v>Title or table header</x:v>
      </x:c>
      <x:c r="C13" s="52" t="str">
        <x:v>No input</x:v>
      </x:c>
      <x:c r="D13" s="52" t="str">
        <x:v>Structural</x:v>
      </x:c>
      <x:c r="E13" s="1"/>
      <x:c r="F13" s="38"/>
      <x:c r="G13" s="39"/>
      <x:c r="H13" s="39"/>
      <x:c r="I13" s="39"/>
      <x:c r="J13" s="40"/>
    </x:row>
    <x:row r="14">
      <x:c r="A14" s="1"/>
      <x:c r="B14" s="1"/>
      <x:c r="C14" s="1"/>
      <x:c r="D14" s="1"/>
      <x:c r="E14" s="1"/>
      <x:c r="F14" s="41"/>
      <x:c r="G14" s="42"/>
      <x:c r="H14" s="42"/>
      <x:c r="I14" s="42"/>
      <x:c r="J14" s="43"/>
    </x:row>
    <x:row r="15">
      <x:c r="A15" s="1"/>
      <x:c r="B15" s="1"/>
      <x:c r="C15" s="1"/>
      <x:c r="D15" s="1"/>
      <x:c r="E15" s="1"/>
      <x:c r="F15" s="1"/>
      <x:c r="G15" s="1"/>
      <x:c r="H15" s="1"/>
      <x:c r="I15" s="1"/>
      <x:c r="J15" s="1"/>
    </x:row>
    <x:row r="16">
      <x:c r="A16" s="17" t="str">
        <x:v>Source basis</x:v>
      </x:c>
      <x:c r="B16" s="17"/>
      <x:c r="C16" s="17"/>
      <x:c r="D16" s="17"/>
      <x:c r="E16" s="17"/>
      <x:c r="F16" s="17"/>
      <x:c r="G16" s="17"/>
      <x:c r="H16" s="17"/>
      <x:c r="I16" s="17"/>
      <x:c r="J16" s="17"/>
    </x:row>
    <x:row r="17">
      <x:c r="A17" s="35" t="str">
        <x:v>Objectives and execution guidance were expanded from ALL PSP.pdf, Table 3: E - Accounts receivable trade, and PAA1_Slides Clients [French PSPs]_revu CAP 06.09.13.pptx, including slides on audit assertions, analytical procedures and E-01-GL to E-08-GL. The workbook remains a template and must be tailored to the engagement.</x:v>
      </x:c>
      <x:c r="B17" s="36"/>
      <x:c r="C17" s="36"/>
      <x:c r="D17" s="36"/>
      <x:c r="E17" s="36"/>
      <x:c r="F17" s="36"/>
      <x:c r="G17" s="36"/>
      <x:c r="H17" s="36"/>
      <x:c r="I17" s="36"/>
      <x:c r="J17" s="37"/>
    </x:row>
    <x:row r="18">
      <x:c r="A18" s="38"/>
      <x:c r="B18" s="39"/>
      <x:c r="C18" s="39"/>
      <x:c r="D18" s="39"/>
      <x:c r="E18" s="39"/>
      <x:c r="F18" s="39"/>
      <x:c r="G18" s="39"/>
      <x:c r="H18" s="39"/>
      <x:c r="I18" s="39"/>
      <x:c r="J18" s="40"/>
    </x:row>
    <x:row r="19">
      <x:c r="A19" s="38"/>
      <x:c r="B19" s="39"/>
      <x:c r="C19" s="39"/>
      <x:c r="D19" s="39"/>
      <x:c r="E19" s="39"/>
      <x:c r="F19" s="39"/>
      <x:c r="G19" s="39"/>
      <x:c r="H19" s="39"/>
      <x:c r="I19" s="39"/>
      <x:c r="J19" s="40"/>
    </x:row>
    <x:row r="20">
      <x:c r="A20" s="41"/>
      <x:c r="B20" s="42"/>
      <x:c r="C20" s="42"/>
      <x:c r="D20" s="42"/>
      <x:c r="E20" s="42"/>
      <x:c r="F20" s="42"/>
      <x:c r="G20" s="42"/>
      <x:c r="H20" s="42"/>
      <x:c r="I20" s="42"/>
      <x:c r="J20" s="43"/>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sheetData>
  <x:mergeCells>
    <x:mergeCell ref="A1:J1"/>
    <x:mergeCell ref="A3:J3"/>
    <x:mergeCell ref="A4:J8"/>
    <x:mergeCell ref="F10:J10"/>
    <x:mergeCell ref="F11:J14"/>
    <x:mergeCell ref="A16:J16"/>
    <x:mergeCell ref="A17:J2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42" hidden="0" customWidth="1"/>
    <x:col min="3" max="3" width="42" hidden="0" customWidth="1"/>
    <x:col min="4" max="4" width="18" hidden="0" customWidth="1"/>
    <x:col min="5" max="5" width="18" hidden="0" customWidth="1"/>
    <x:col min="6" max="6" width="35" hidden="0" customWidth="1"/>
  </x:cols>
  <x:sheetData>
    <x:row r="1" ht="24" customHeight="1">
      <x:c r="A1" s="4" t="str">
        <x:v>E - Trade Receivables | Tickmarks</x:v>
      </x:c>
      <x:c r="B1" s="4"/>
      <x:c r="C1" s="4"/>
      <x:c r="D1" s="4"/>
      <x:c r="E1" s="4"/>
      <x:c r="F1" s="4"/>
    </x:row>
    <x:row r="2">
      <x:c r="A2" s="1"/>
      <x:c r="B2" s="1"/>
      <x:c r="C2" s="1"/>
      <x:c r="D2" s="1"/>
      <x:c r="E2" s="1"/>
      <x:c r="F2" s="1"/>
    </x:row>
    <x:row r="3">
      <x:c r="A3" s="17" t="str">
        <x:v>Code</x:v>
      </x:c>
      <x:c r="B3" s="17" t="str">
        <x:v>Description</x:v>
      </x:c>
      <x:c r="C3" s="17" t="str">
        <x:v>Typical evidence / use</x:v>
      </x:c>
      <x:c r="D3" s="17" t="str">
        <x:v>Category</x:v>
      </x:c>
      <x:c r="E3" s="17" t="str">
        <x:v>Attribution required</x:v>
      </x:c>
      <x:c r="F3" s="17" t="str">
        <x:v>Notes</x:v>
      </x:c>
    </x:row>
    <x:row r="4">
      <x:c r="A4" s="55" t="str">
        <x:v>TB</x:v>
      </x:c>
      <x:c r="B4" s="54" t="str">
        <x:v>Agreed to trial balance</x:v>
      </x:c>
      <x:c r="C4" s="54" t="str">
        <x:v>Final trial balance</x:v>
      </x:c>
      <x:c r="D4" s="54" t="str">
        <x:v>Agreement</x:v>
      </x:c>
      <x:c r="E4" s="54" t="str">
        <x:v>Yes</x:v>
      </x:c>
      <x:c r="F4" s="54" t="str"/>
    </x:row>
    <x:row r="5">
      <x:c r="A5" s="55" t="str">
        <x:v>GL</x:v>
      </x:c>
      <x:c r="B5" s="54" t="str">
        <x:v>Agreed to general ledger</x:v>
      </x:c>
      <x:c r="C5" s="54" t="str">
        <x:v>General ledger / control account</x:v>
      </x:c>
      <x:c r="D5" s="54" t="str">
        <x:v>Agreement</x:v>
      </x:c>
      <x:c r="E5" s="54" t="str">
        <x:v>Yes</x:v>
      </x:c>
      <x:c r="F5" s="54" t="str"/>
    </x:row>
    <x:row r="6">
      <x:c r="A6" s="55" t="str">
        <x:v>SL</x:v>
      </x:c>
      <x:c r="B6" s="54" t="str">
        <x:v>Agreed to subledger</x:v>
      </x:c>
      <x:c r="C6" s="54" t="str">
        <x:v>Receivables subledger; specify the ledger where needed</x:v>
      </x:c>
      <x:c r="D6" s="54" t="str">
        <x:v>Agreement</x:v>
      </x:c>
      <x:c r="E6" s="54" t="str">
        <x:v>Yes</x:v>
      </x:c>
      <x:c r="F6" s="54" t="str"/>
    </x:row>
    <x:row r="7">
      <x:c r="A7" s="55" t="str">
        <x:v>PY</x:v>
      </x:c>
      <x:c r="B7" s="54" t="str">
        <x:v>Agreed to prior-year audited financial statements or working papers</x:v>
      </x:c>
      <x:c r="C7" s="54" t="str">
        <x:v>Signed prior-year accounts / archived file</x:v>
      </x:c>
      <x:c r="D7" s="54" t="str">
        <x:v>Agreement</x:v>
      </x:c>
      <x:c r="E7" s="54" t="str">
        <x:v>Yes</x:v>
      </x:c>
      <x:c r="F7" s="54" t="str"/>
    </x:row>
    <x:row r="8">
      <x:c r="A8" s="55" t="str">
        <x:v>FS</x:v>
      </x:c>
      <x:c r="B8" s="54" t="str">
        <x:v>Agreed to current-year financial statements</x:v>
      </x:c>
      <x:c r="C8" s="54" t="str">
        <x:v>Final financial statements / reporting pack</x:v>
      </x:c>
      <x:c r="D8" s="54" t="str">
        <x:v>Agreement</x:v>
      </x:c>
      <x:c r="E8" s="54" t="str">
        <x:v>Yes</x:v>
      </x:c>
      <x:c r="F8" s="54" t="str"/>
    </x:row>
    <x:row r="9">
      <x:c r="A9" s="55" t="str">
        <x:v>m</x:v>
      </x:c>
      <x:c r="B9" s="54" t="str">
        <x:v>Movement or amount is below the defined testing scope</x:v>
      </x:c>
      <x:c r="C9" s="54" t="str">
        <x:v>Compare with SAD or documented scope</x:v>
      </x:c>
      <x:c r="D9" s="54" t="str">
        <x:v>Scope</x:v>
      </x:c>
      <x:c r="E9" s="54" t="str">
        <x:v>Yes</x:v>
      </x:c>
      <x:c r="F9" s="54" t="str">
        <x:v>Do not use where qualitative factors make the item relevant</x:v>
      </x:c>
    </x:row>
    <x:row r="10">
      <x:c r="A10" s="55" t="str">
        <x:v>@</x:v>
      </x:c>
      <x:c r="B10" s="54" t="str">
        <x:v>Correctly calculated</x:v>
      </x:c>
      <x:c r="C10" s="54" t="str">
        <x:v>Recalculation performed</x:v>
      </x:c>
      <x:c r="D10" s="54" t="str">
        <x:v>Calculation</x:v>
      </x:c>
      <x:c r="E10" s="54" t="str">
        <x:v>Yes</x:v>
      </x:c>
      <x:c r="F10" s="54" t="str"/>
    </x:row>
    <x:row r="11">
      <x:c r="A11" s="55" t="str">
        <x:v>^</x:v>
      </x:c>
      <x:c r="B11" s="54" t="str">
        <x:v>Footed correctly</x:v>
      </x:c>
      <x:c r="C11" s="54" t="str">
        <x:v>Column total independently checked</x:v>
      </x:c>
      <x:c r="D11" s="54" t="str">
        <x:v>Calculation</x:v>
      </x:c>
      <x:c r="E11" s="54" t="str">
        <x:v>Yes</x:v>
      </x:c>
      <x:c r="F11" s="54" t="str"/>
    </x:row>
    <x:row r="12">
      <x:c r="A12" s="55" t="str">
        <x:v>&lt;</x:v>
      </x:c>
      <x:c r="B12" s="54" t="str">
        <x:v>Cross-footed correctly</x:v>
      </x:c>
      <x:c r="C12" s="54" t="str">
        <x:v>Row total independently checked</x:v>
      </x:c>
      <x:c r="D12" s="54" t="str">
        <x:v>Calculation</x:v>
      </x:c>
      <x:c r="E12" s="54" t="str">
        <x:v>Yes</x:v>
      </x:c>
      <x:c r="F12" s="54" t="str"/>
    </x:row>
    <x:row r="13">
      <x:c r="A13" s="55" t="str">
        <x:v>√1</x:v>
      </x:c>
      <x:c r="B13" s="54" t="str">
        <x:v>Agreed to supporting documentation - type 1</x:v>
      </x:c>
      <x:c r="C13" s="54" t="str">
        <x:v>State document type in the evidence reference</x:v>
      </x:c>
      <x:c r="D13" s="54" t="str">
        <x:v>Evidence</x:v>
      </x:c>
      <x:c r="E13" s="54" t="str">
        <x:v>Yes</x:v>
      </x:c>
      <x:c r="F13" s="54" t="str"/>
    </x:row>
    <x:row r="14">
      <x:c r="A14" s="55" t="str">
        <x:v>√2</x:v>
      </x:c>
      <x:c r="B14" s="54" t="str">
        <x:v>Agreed to supporting documentation - type 2</x:v>
      </x:c>
      <x:c r="C14" s="54" t="str">
        <x:v>State document type in the evidence reference</x:v>
      </x:c>
      <x:c r="D14" s="54" t="str">
        <x:v>Evidence</x:v>
      </x:c>
      <x:c r="E14" s="54" t="str">
        <x:v>Yes</x:v>
      </x:c>
      <x:c r="F14" s="54" t="str"/>
    </x:row>
    <x:row r="15">
      <x:c r="A15" s="55" t="str">
        <x:v>√3</x:v>
      </x:c>
      <x:c r="B15" s="54" t="str">
        <x:v>Agreed to supporting documentation - type 3</x:v>
      </x:c>
      <x:c r="C15" s="54" t="str">
        <x:v>State document type in the evidence reference</x:v>
      </x:c>
      <x:c r="D15" s="54" t="str">
        <x:v>Evidence</x:v>
      </x:c>
      <x:c r="E15" s="54" t="str">
        <x:v>Yes</x:v>
      </x:c>
      <x:c r="F15" s="54" t="str"/>
    </x:row>
    <x:row r="16">
      <x:c r="A16" s="55" t="str">
        <x:v>N/A</x:v>
      </x:c>
      <x:c r="B16" s="54" t="str">
        <x:v>Not applicable</x:v>
      </x:c>
      <x:c r="C16" s="54" t="str">
        <x:v>Explain why the procedure or field does not apply</x:v>
      </x:c>
      <x:c r="D16" s="54" t="str">
        <x:v>Status</x:v>
      </x:c>
      <x:c r="E16" s="54" t="str">
        <x:v>Yes</x:v>
      </x:c>
      <x:c r="F16" s="54" t="str"/>
    </x:row>
    <x:row r="17">
      <x:c r="A17" s="55" t="str">
        <x:v>F</x:v>
      </x:c>
      <x:c r="B17" s="54" t="str">
        <x:v>Footed</x:v>
      </x:c>
      <x:c r="C17" s="54" t="str">
        <x:v>Schedule arithmetic checked</x:v>
      </x:c>
      <x:c r="D17" s="54" t="str">
        <x:v>Calculation</x:v>
      </x:c>
      <x:c r="E17" s="54" t="str">
        <x:v>Yes</x:v>
      </x:c>
      <x:c r="F17" s="54" t="str">
        <x:v>Alias retained from supplied legend</x:v>
      </x:c>
    </x:row>
    <x:row r="18">
      <x:c r="A18" s="55" t="str">
        <x:v>CF</x:v>
      </x:c>
      <x:c r="B18" s="54" t="str">
        <x:v>Cross-footed</x:v>
      </x:c>
      <x:c r="C18" s="54" t="str">
        <x:v>Schedule cross-casting checked</x:v>
      </x:c>
      <x:c r="D18" s="54" t="str">
        <x:v>Calculation</x:v>
      </x:c>
      <x:c r="E18" s="54" t="str">
        <x:v>Yes</x:v>
      </x:c>
      <x:c r="F18" s="54" t="str"/>
    </x:row>
    <x:row r="19">
      <x:c r="A19" s="55" t="str">
        <x:v>C</x:v>
      </x:c>
      <x:c r="B19" s="54" t="str">
        <x:v>Calculation checked and agreed</x:v>
      </x:c>
      <x:c r="C19" s="54" t="str">
        <x:v>Independent cast / recalculation</x:v>
      </x:c>
      <x:c r="D19" s="54" t="str">
        <x:v>Calculation</x:v>
      </x:c>
      <x:c r="E19" s="54" t="str">
        <x:v>Yes</x:v>
      </x:c>
      <x:c r="F19" s="54" t="str">
        <x:v>Standardised to avoid conflict with confirmation</x:v>
      </x:c>
    </x:row>
    <x:row r="20">
      <x:c r="A20" s="55" t="str">
        <x:v>R</x:v>
      </x:c>
      <x:c r="B20" s="54" t="str">
        <x:v>Agreed to report</x:v>
      </x:c>
      <x:c r="C20" s="54" t="str">
        <x:v>Supporting report / system output</x:v>
      </x:c>
      <x:c r="D20" s="54" t="str">
        <x:v>Agreement</x:v>
      </x:c>
      <x:c r="E20" s="54" t="str">
        <x:v>Yes</x:v>
      </x:c>
      <x:c r="F20" s="54" t="str"/>
    </x:row>
    <x:row r="21">
      <x:c r="A21" s="55" t="str">
        <x:v>CONF</x:v>
      </x:c>
      <x:c r="B21" s="54" t="str">
        <x:v>Agreed to confirmation</x:v>
      </x:c>
      <x:c r="C21" s="54" t="str">
        <x:v>External confirmation controlled and received by auditor</x:v>
      </x:c>
      <x:c r="D21" s="54" t="str">
        <x:v>External evidence</x:v>
      </x:c>
      <x:c r="E21" s="54" t="str">
        <x:v>Yes</x:v>
      </x:c>
      <x:c r="F21" s="54" t="str">
        <x:v>Replaces ambiguous single-letter C</x:v>
      </x:c>
    </x:row>
    <x:row r="22">
      <x:c r="A22" s="1"/>
      <x:c r="B22" s="1"/>
      <x:c r="C22" s="1"/>
      <x:c r="D22" s="1"/>
      <x:c r="E22" s="1"/>
      <x:c r="F22" s="1"/>
    </x:row>
    <x:row r="23">
      <x:c r="A23" s="1"/>
      <x:c r="B23" s="1"/>
      <x:c r="C23" s="1"/>
      <x:c r="D23" s="1"/>
      <x:c r="E23" s="1"/>
      <x:c r="F23" s="1"/>
    </x:row>
    <x:row r="24">
      <x:c r="A24" s="1"/>
      <x:c r="B24" s="1"/>
      <x:c r="C24" s="1"/>
      <x:c r="D24" s="1"/>
      <x:c r="E24" s="1"/>
      <x:c r="F24" s="1"/>
    </x:row>
    <x:row r="25">
      <x:c r="A25" s="1"/>
      <x:c r="B25" s="1"/>
      <x:c r="C25" s="1"/>
      <x:c r="D25" s="1"/>
      <x:c r="E25" s="1"/>
      <x:c r="F25" s="1"/>
    </x:row>
    <x:row r="26">
      <x:c r="A26" s="1"/>
      <x:c r="B26" s="1"/>
      <x:c r="C26" s="1"/>
      <x:c r="D26" s="1"/>
      <x:c r="E26" s="1"/>
      <x:c r="F26" s="1"/>
    </x:row>
    <x:row r="27">
      <x:c r="A27" s="1"/>
      <x:c r="B27" s="1"/>
      <x:c r="C27" s="1"/>
      <x:c r="D27" s="1"/>
      <x:c r="E27" s="1"/>
      <x:c r="F27" s="1"/>
    </x:row>
    <x:row r="28">
      <x:c r="A28" s="1"/>
      <x:c r="B28" s="1"/>
      <x:c r="C28" s="1"/>
      <x:c r="D28" s="1"/>
      <x:c r="E28" s="1"/>
      <x:c r="F28" s="1"/>
    </x:row>
    <x:row r="29">
      <x:c r="A29" s="1"/>
      <x:c r="B29" s="1"/>
      <x:c r="C29" s="1"/>
      <x:c r="D29" s="1"/>
      <x:c r="E29" s="1"/>
      <x:c r="F29" s="1"/>
    </x:row>
    <x:row r="30">
      <x:c r="A30" s="1"/>
      <x:c r="B30" s="1"/>
      <x:c r="C30" s="1"/>
      <x:c r="D30" s="1"/>
      <x:c r="E30" s="1"/>
      <x:c r="F30" s="1"/>
    </x:row>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24" hidden="0" customWidth="1"/>
    <x:col min="3" max="3" width="13" hidden="0" customWidth="1"/>
    <x:col min="4" max="4" width="13" hidden="0" customWidth="1"/>
    <x:col min="5" max="5" width="13" hidden="0" customWidth="1"/>
    <x:col min="6" max="6" width="14" hidden="0" customWidth="1"/>
    <x:col min="7" max="7" width="24" hidden="0" customWidth="1"/>
    <x:col min="8" max="8" width="22" hidden="0" customWidth="1"/>
    <x:col min="9" max="9" width="15" hidden="0" customWidth="1"/>
    <x:col min="10" max="10" width="12" hidden="0" customWidth="1"/>
  </x:cols>
  <x:sheetData>
    <x:row r="1" ht="24" customHeight="1">
      <x:c r="A1" s="4" t="str">
        <x:v>E - Trade Receivables | E-1 Agreement of subledger with general ledger</x:v>
      </x:c>
      <x:c r="B1" s="4"/>
      <x:c r="C1" s="4"/>
      <x:c r="D1" s="4"/>
      <x:c r="E1" s="4"/>
      <x:c r="F1" s="4"/>
      <x:c r="G1" s="4"/>
      <x:c r="H1" s="4"/>
      <x:c r="I1" s="4"/>
      <x:c r="J1" s="4"/>
    </x:row>
    <x:row r="2">
      <x:c r="A2" s="62" t="str">
        <x:v>Entity</x:v>
      </x:c>
      <x:c r="B2" s="70" t="str">
        <x:f>'General'!B3</x:f>
        <x:v>[Enter entity name]</x:v>
      </x:c>
      <x:c r="C2" s="67" t="str">
        <x:v>Period end</x:v>
      </x:c>
      <x:c r="D2" s="73" t="str">
        <x:f>IF('General'!B4="","",'General'!B4)</x:f>
      </x:c>
      <x:c r="E2" s="67" t="str">
        <x:v>Currency</x:v>
      </x:c>
      <x:c r="F2" s="70" t="str">
        <x:f>'General'!B5</x:f>
        <x:v>GBP</x:v>
      </x:c>
      <x:c r="G2" s="67" t="str">
        <x:v>Prepared by</x:v>
      </x:c>
      <x:c r="H2" s="70" t="str">
        <x:f>'General'!B6</x:f>
        <x:v>[Name / date]</x:v>
      </x:c>
      <x:c r="I2" s="64" t="str">
        <x:v>Reviewed by</x:v>
      </x:c>
      <x:c r="J2" s="58" t="str">
        <x:f>'General'!B7</x:f>
        <x:v>[Name / date]</x:v>
      </x:c>
    </x:row>
    <x:row r="3">
      <x:c r="A3" s="63" t="str">
        <x:v>WP reference</x:v>
      </x:c>
      <x:c r="B3" s="71" t="str">
        <x:v>E-1</x:v>
      </x:c>
      <x:c r="C3" s="69" t="str">
        <x:v>Planning mat.</x:v>
      </x:c>
      <x:c r="D3" s="74" t="str">
        <x:f>IF('General'!B9="","",'General'!B9)</x:f>
      </x:c>
      <x:c r="E3" s="75" t="str">
        <x:v>Tolerable error</x:v>
      </x:c>
      <x:c r="F3" s="74" t="str">
        <x:f>IF('General'!B10="","",'General'!B10)</x:f>
      </x:c>
      <x:c r="G3" s="75" t="str">
        <x:v>SAD nominal</x:v>
      </x:c>
      <x:c r="H3" s="74" t="str">
        <x:f>IF('General'!B11="","",'General'!B11)</x:f>
      </x:c>
      <x:c r="I3" s="65" t="str">
        <x:v>Status</x:v>
      </x:c>
      <x:c r="J3" s="72" t="str">
        <x:v>Not started</x:v>
      </x:c>
    </x:row>
    <x:row r="4">
      <x:c r="A4" s="1"/>
      <x:c r="B4" s="1"/>
      <x:c r="C4" s="1"/>
      <x:c r="D4" s="1"/>
      <x:c r="E4" s="1"/>
      <x:c r="F4" s="1"/>
      <x:c r="G4" s="1"/>
      <x:c r="H4" s="1"/>
      <x:c r="I4" s="1"/>
      <x:c r="J4" s="1"/>
    </x:row>
    <x:row r="5" ht="44" customHeight="1">
      <x:c r="A5" s="78" t="str">
        <x:v>Objective: Obtain evidence over completeness and existence by reconciling the year-end receivables subledger and aged listing to the general-ledger control account, trial balance and financial statements, and by identifying material, unusual or non-standard reconciling items and journals.</x:v>
      </x:c>
      <x:c r="B5" s="78"/>
      <x:c r="C5" s="78"/>
      <x:c r="D5" s="78"/>
      <x:c r="E5" s="78"/>
      <x:c r="F5" s="78"/>
      <x:c r="G5" s="78"/>
      <x:c r="H5" s="78"/>
      <x:c r="I5" s="78"/>
      <x:c r="J5" s="78"/>
    </x:row>
    <x:row r="6" ht="70" customHeight="1">
      <x:c r="A6" s="78" t="str">
        <x:v>Execution guidance: Obtain the subledger, aged listing and client reconciliation at the reporting date. Agree totals to the control account, trial balance and lead schedule; reperform the reconciliation; test significant or unusual differences to supporting evidence; inspect the control account for non-standard journals; assess credit balances for liability classification; and update interim work through year-end. Document unresolved differences and their effect on the population used by the remaining PSPs.</x:v>
      </x:c>
      <x:c r="B6" s="78"/>
      <x:c r="C6" s="78"/>
      <x:c r="D6" s="78"/>
      <x:c r="E6" s="78"/>
      <x:c r="F6" s="78"/>
      <x:c r="G6" s="78"/>
      <x:c r="H6" s="78"/>
      <x:c r="I6" s="78"/>
      <x:c r="J6" s="78"/>
    </x:row>
    <x:row r="7">
      <x:c r="A7" s="1"/>
      <x:c r="B7" s="1"/>
      <x:c r="C7" s="1"/>
      <x:c r="D7" s="1"/>
      <x:c r="E7" s="1"/>
      <x:c r="F7" s="1"/>
      <x:c r="G7" s="1"/>
      <x:c r="H7" s="1"/>
      <x:c r="I7" s="1"/>
      <x:c r="J7" s="1"/>
    </x:row>
    <x:row r="8" ht="40" customHeight="1">
      <x:c r="A8" s="82" t="str">
        <x:v>Ref.</x:v>
      </x:c>
      <x:c r="B8" s="82" t="str">
        <x:v>Description / reconciling item</x:v>
      </x:c>
      <x:c r="C8" s="82" t="str">
        <x:v>Subledger</x:v>
      </x:c>
      <x:c r="D8" s="82" t="str">
        <x:v>General ledger</x:v>
      </x:c>
      <x:c r="E8" s="82" t="str">
        <x:v>Difference</x:v>
      </x:c>
      <x:c r="F8" s="82" t="str">
        <x:v>Nature</x:v>
      </x:c>
      <x:c r="G8" s="82" t="str">
        <x:v>Explanation</x:v>
      </x:c>
      <x:c r="H8" s="82" t="str">
        <x:v>Supporting evidence</x:v>
      </x:c>
      <x:c r="I8" s="82" t="str">
        <x:v>Result</x:v>
      </x:c>
      <x:c r="J8" s="82" t="str">
        <x:v>Tickmarks</x:v>
      </x:c>
    </x:row>
    <x:row r="9" ht="22" customHeight="1">
      <x:c r="A9" s="108"/>
      <x:c r="B9" s="108"/>
      <x:c r="C9" s="109"/>
      <x:c r="D9" s="109"/>
      <x:c r="E9" s="110" t="n">
        <x:f>C9-D9</x:f>
        <x:v>0</x:v>
      </x:c>
      <x:c r="F9" s="108"/>
      <x:c r="G9" s="108"/>
      <x:c r="H9" s="108"/>
      <x:c r="I9" s="111" t="str">
        <x:f>IF(B9="","",IF(ABS(E9)&lt;='General'!$B$11,"Cleared / immaterial","Investigate"))</x:f>
      </x:c>
      <x:c r="J9" s="108"/>
    </x:row>
    <x:row r="10" ht="22" customHeight="1">
      <x:c r="A10" s="108"/>
      <x:c r="B10" s="108"/>
      <x:c r="C10" s="109"/>
      <x:c r="D10" s="109"/>
      <x:c r="E10" s="110" t="n">
        <x:f>C10-D10</x:f>
        <x:v>0</x:v>
      </x:c>
      <x:c r="F10" s="108"/>
      <x:c r="G10" s="108"/>
      <x:c r="H10" s="108"/>
      <x:c r="I10" s="111" t="str">
        <x:f>IF(B10="","",IF(ABS(E10)&lt;='General'!$B$11,"Cleared / immaterial","Investigate"))</x:f>
      </x:c>
      <x:c r="J10" s="108"/>
    </x:row>
    <x:row r="11" ht="22" customHeight="1">
      <x:c r="A11" s="108"/>
      <x:c r="B11" s="108"/>
      <x:c r="C11" s="109"/>
      <x:c r="D11" s="109"/>
      <x:c r="E11" s="110" t="n">
        <x:f>C11-D11</x:f>
        <x:v>0</x:v>
      </x:c>
      <x:c r="F11" s="108"/>
      <x:c r="G11" s="108"/>
      <x:c r="H11" s="108"/>
      <x:c r="I11" s="111" t="str">
        <x:f>IF(B11="","",IF(ABS(E11)&lt;='General'!$B$11,"Cleared / immaterial","Investigate"))</x:f>
      </x:c>
      <x:c r="J11" s="108"/>
    </x:row>
    <x:row r="12" ht="22" customHeight="1">
      <x:c r="A12" s="108"/>
      <x:c r="B12" s="108"/>
      <x:c r="C12" s="109"/>
      <x:c r="D12" s="109"/>
      <x:c r="E12" s="110" t="n">
        <x:f>C12-D12</x:f>
        <x:v>0</x:v>
      </x:c>
      <x:c r="F12" s="108"/>
      <x:c r="G12" s="108"/>
      <x:c r="H12" s="108"/>
      <x:c r="I12" s="111" t="str">
        <x:f>IF(B12="","",IF(ABS(E12)&lt;='General'!$B$11,"Cleared / immaterial","Investigate"))</x:f>
      </x:c>
      <x:c r="J12" s="108"/>
    </x:row>
    <x:row r="13" ht="22" customHeight="1">
      <x:c r="A13" s="108"/>
      <x:c r="B13" s="108"/>
      <x:c r="C13" s="109"/>
      <x:c r="D13" s="109"/>
      <x:c r="E13" s="110" t="n">
        <x:f>C13-D13</x:f>
        <x:v>0</x:v>
      </x:c>
      <x:c r="F13" s="108"/>
      <x:c r="G13" s="108"/>
      <x:c r="H13" s="108"/>
      <x:c r="I13" s="111" t="str">
        <x:f>IF(B13="","",IF(ABS(E13)&lt;='General'!$B$11,"Cleared / immaterial","Investigate"))</x:f>
      </x:c>
      <x:c r="J13" s="108"/>
    </x:row>
    <x:row r="14" ht="22" customHeight="1">
      <x:c r="A14" s="108"/>
      <x:c r="B14" s="108"/>
      <x:c r="C14" s="109"/>
      <x:c r="D14" s="109"/>
      <x:c r="E14" s="110" t="n">
        <x:f>C14-D14</x:f>
        <x:v>0</x:v>
      </x:c>
      <x:c r="F14" s="108"/>
      <x:c r="G14" s="108"/>
      <x:c r="H14" s="108"/>
      <x:c r="I14" s="111" t="str">
        <x:f>IF(B14="","",IF(ABS(E14)&lt;='General'!$B$11,"Cleared / immaterial","Investigate"))</x:f>
      </x:c>
      <x:c r="J14" s="108"/>
    </x:row>
    <x:row r="15" ht="22" customHeight="1">
      <x:c r="A15" s="108"/>
      <x:c r="B15" s="108"/>
      <x:c r="C15" s="109"/>
      <x:c r="D15" s="109"/>
      <x:c r="E15" s="110" t="n">
        <x:f>C15-D15</x:f>
        <x:v>0</x:v>
      </x:c>
      <x:c r="F15" s="108"/>
      <x:c r="G15" s="108"/>
      <x:c r="H15" s="108"/>
      <x:c r="I15" s="111" t="str">
        <x:f>IF(B15="","",IF(ABS(E15)&lt;='General'!$B$11,"Cleared / immaterial","Investigate"))</x:f>
      </x:c>
      <x:c r="J15" s="108"/>
    </x:row>
    <x:row r="16" ht="22" customHeight="1">
      <x:c r="A16" s="108"/>
      <x:c r="B16" s="108"/>
      <x:c r="C16" s="109"/>
      <x:c r="D16" s="109"/>
      <x:c r="E16" s="110" t="n">
        <x:f>C16-D16</x:f>
        <x:v>0</x:v>
      </x:c>
      <x:c r="F16" s="108"/>
      <x:c r="G16" s="108"/>
      <x:c r="H16" s="108"/>
      <x:c r="I16" s="111" t="str">
        <x:f>IF(B16="","",IF(ABS(E16)&lt;='General'!$B$11,"Cleared / immaterial","Investigate"))</x:f>
      </x:c>
      <x:c r="J16" s="108"/>
    </x:row>
    <x:row r="17" ht="22" customHeight="1">
      <x:c r="A17" s="108"/>
      <x:c r="B17" s="108"/>
      <x:c r="C17" s="109"/>
      <x:c r="D17" s="109"/>
      <x:c r="E17" s="110" t="n">
        <x:f>C17-D17</x:f>
        <x:v>0</x:v>
      </x:c>
      <x:c r="F17" s="108"/>
      <x:c r="G17" s="108"/>
      <x:c r="H17" s="108"/>
      <x:c r="I17" s="111" t="str">
        <x:f>IF(B17="","",IF(ABS(E17)&lt;='General'!$B$11,"Cleared / immaterial","Investigate"))</x:f>
      </x:c>
      <x:c r="J17" s="108"/>
    </x:row>
    <x:row r="18" ht="22" customHeight="1">
      <x:c r="A18" s="108"/>
      <x:c r="B18" s="108"/>
      <x:c r="C18" s="109"/>
      <x:c r="D18" s="109"/>
      <x:c r="E18" s="110" t="n">
        <x:f>C18-D18</x:f>
        <x:v>0</x:v>
      </x:c>
      <x:c r="F18" s="108"/>
      <x:c r="G18" s="108"/>
      <x:c r="H18" s="108"/>
      <x:c r="I18" s="111" t="str">
        <x:f>IF(B18="","",IF(ABS(E18)&lt;='General'!$B$11,"Cleared / immaterial","Investigate"))</x:f>
      </x:c>
      <x:c r="J18" s="108"/>
    </x:row>
    <x:row r="19" ht="22" customHeight="1">
      <x:c r="A19" s="108"/>
      <x:c r="B19" s="108"/>
      <x:c r="C19" s="109"/>
      <x:c r="D19" s="109"/>
      <x:c r="E19" s="110" t="n">
        <x:f>C19-D19</x:f>
        <x:v>0</x:v>
      </x:c>
      <x:c r="F19" s="108"/>
      <x:c r="G19" s="108"/>
      <x:c r="H19" s="108"/>
      <x:c r="I19" s="111" t="str">
        <x:f>IF(B19="","",IF(ABS(E19)&lt;='General'!$B$11,"Cleared / immaterial","Investigate"))</x:f>
      </x:c>
      <x:c r="J19" s="108"/>
    </x:row>
    <x:row r="20" ht="22" customHeight="1">
      <x:c r="A20" s="108"/>
      <x:c r="B20" s="108"/>
      <x:c r="C20" s="109"/>
      <x:c r="D20" s="109"/>
      <x:c r="E20" s="110" t="n">
        <x:f>C20-D20</x:f>
        <x:v>0</x:v>
      </x:c>
      <x:c r="F20" s="108"/>
      <x:c r="G20" s="108"/>
      <x:c r="H20" s="108"/>
      <x:c r="I20" s="111" t="str">
        <x:f>IF(B20="","",IF(ABS(E20)&lt;='General'!$B$11,"Cleared / immaterial","Investigate"))</x:f>
      </x:c>
      <x:c r="J20" s="108"/>
    </x:row>
    <x:row r="21" ht="22" customHeight="1">
      <x:c r="A21" s="108"/>
      <x:c r="B21" s="108"/>
      <x:c r="C21" s="109"/>
      <x:c r="D21" s="109"/>
      <x:c r="E21" s="110" t="n">
        <x:f>C21-D21</x:f>
        <x:v>0</x:v>
      </x:c>
      <x:c r="F21" s="108"/>
      <x:c r="G21" s="108"/>
      <x:c r="H21" s="108"/>
      <x:c r="I21" s="111" t="str">
        <x:f>IF(B21="","",IF(ABS(E21)&lt;='General'!$B$11,"Cleared / immaterial","Investigate"))</x:f>
      </x:c>
      <x:c r="J21" s="108"/>
    </x:row>
    <x:row r="22" ht="22" customHeight="1">
      <x:c r="A22" s="108"/>
      <x:c r="B22" s="108"/>
      <x:c r="C22" s="109"/>
      <x:c r="D22" s="109"/>
      <x:c r="E22" s="110" t="n">
        <x:f>C22-D22</x:f>
        <x:v>0</x:v>
      </x:c>
      <x:c r="F22" s="108"/>
      <x:c r="G22" s="108"/>
      <x:c r="H22" s="108"/>
      <x:c r="I22" s="111" t="str">
        <x:f>IF(B22="","",IF(ABS(E22)&lt;='General'!$B$11,"Cleared / immaterial","Investigate"))</x:f>
      </x:c>
      <x:c r="J22" s="108"/>
    </x:row>
    <x:row r="23" ht="22" customHeight="1">
      <x:c r="A23" s="108"/>
      <x:c r="B23" s="108"/>
      <x:c r="C23" s="109"/>
      <x:c r="D23" s="109"/>
      <x:c r="E23" s="110" t="n">
        <x:f>C23-D23</x:f>
        <x:v>0</x:v>
      </x:c>
      <x:c r="F23" s="108"/>
      <x:c r="G23" s="108"/>
      <x:c r="H23" s="108"/>
      <x:c r="I23" s="111" t="str">
        <x:f>IF(B23="","",IF(ABS(E23)&lt;='General'!$B$11,"Cleared / immaterial","Investigate"))</x:f>
      </x:c>
      <x:c r="J23" s="108"/>
    </x:row>
    <x:row r="24" ht="22" customHeight="1">
      <x:c r="A24" s="108"/>
      <x:c r="B24" s="108"/>
      <x:c r="C24" s="109"/>
      <x:c r="D24" s="109"/>
      <x:c r="E24" s="110" t="n">
        <x:f>C24-D24</x:f>
        <x:v>0</x:v>
      </x:c>
      <x:c r="F24" s="108"/>
      <x:c r="G24" s="108"/>
      <x:c r="H24" s="108"/>
      <x:c r="I24" s="111" t="str">
        <x:f>IF(B24="","",IF(ABS(E24)&lt;='General'!$B$11,"Cleared / immaterial","Investigate"))</x:f>
      </x:c>
      <x:c r="J24" s="108"/>
    </x:row>
    <x:row r="25" ht="22" customHeight="1">
      <x:c r="A25" s="108"/>
      <x:c r="B25" s="108"/>
      <x:c r="C25" s="109"/>
      <x:c r="D25" s="109"/>
      <x:c r="E25" s="110" t="n">
        <x:f>C25-D25</x:f>
        <x:v>0</x:v>
      </x:c>
      <x:c r="F25" s="108"/>
      <x:c r="G25" s="108"/>
      <x:c r="H25" s="108"/>
      <x:c r="I25" s="111" t="str">
        <x:f>IF(B25="","",IF(ABS(E25)&lt;='General'!$B$11,"Cleared / immaterial","Investigate"))</x:f>
      </x:c>
      <x:c r="J25" s="108"/>
    </x:row>
    <x:row r="26" ht="22" customHeight="1">
      <x:c r="A26" s="108"/>
      <x:c r="B26" s="108"/>
      <x:c r="C26" s="109"/>
      <x:c r="D26" s="109"/>
      <x:c r="E26" s="110" t="n">
        <x:f>C26-D26</x:f>
        <x:v>0</x:v>
      </x:c>
      <x:c r="F26" s="108"/>
      <x:c r="G26" s="108"/>
      <x:c r="H26" s="108"/>
      <x:c r="I26" s="111" t="str">
        <x:f>IF(B26="","",IF(ABS(E26)&lt;='General'!$B$11,"Cleared / immaterial","Investigate"))</x:f>
      </x:c>
      <x:c r="J26" s="108"/>
    </x:row>
    <x:row r="27" ht="22" customHeight="1">
      <x:c r="A27" s="108"/>
      <x:c r="B27" s="108"/>
      <x:c r="C27" s="109"/>
      <x:c r="D27" s="109"/>
      <x:c r="E27" s="110" t="n">
        <x:f>C27-D27</x:f>
        <x:v>0</x:v>
      </x:c>
      <x:c r="F27" s="108"/>
      <x:c r="G27" s="108"/>
      <x:c r="H27" s="108"/>
      <x:c r="I27" s="111" t="str">
        <x:f>IF(B27="","",IF(ABS(E27)&lt;='General'!$B$11,"Cleared / immaterial","Investigate"))</x:f>
      </x:c>
      <x:c r="J27" s="108"/>
    </x:row>
    <x:row r="28" ht="22" customHeight="1">
      <x:c r="A28" s="108"/>
      <x:c r="B28" s="108"/>
      <x:c r="C28" s="109"/>
      <x:c r="D28" s="109"/>
      <x:c r="E28" s="110" t="n">
        <x:f>C28-D28</x:f>
        <x:v>0</x:v>
      </x:c>
      <x:c r="F28" s="108"/>
      <x:c r="G28" s="108"/>
      <x:c r="H28" s="108"/>
      <x:c r="I28" s="111" t="str">
        <x:f>IF(B28="","",IF(ABS(E28)&lt;='General'!$B$11,"Cleared / immaterial","Investigate"))</x:f>
      </x:c>
      <x:c r="J28" s="108"/>
    </x:row>
    <x:row r="29">
      <x:c r="A29" s="1"/>
      <x:c r="B29" s="1"/>
      <x:c r="C29" s="1"/>
      <x:c r="D29" s="1"/>
      <x:c r="E29" s="1"/>
      <x:c r="F29" s="1"/>
      <x:c r="G29" s="1"/>
      <x:c r="H29" s="1"/>
      <x:c r="I29" s="1"/>
      <x:c r="J29" s="1"/>
    </x:row>
    <x:row r="30">
      <x:c r="A30" s="95" t="str">
        <x:v>Conclusion: [Document the results, identified or projected misstatements, unresolved matters, and whether the audit objective has been achieved.]</x:v>
      </x:c>
      <x:c r="B30" s="96"/>
      <x:c r="C30" s="96"/>
      <x:c r="D30" s="96"/>
      <x:c r="E30" s="96"/>
      <x:c r="F30" s="96"/>
      <x:c r="G30" s="96"/>
      <x:c r="H30" s="96"/>
      <x:c r="I30" s="96"/>
      <x:c r="J30" s="97"/>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sheetData>
  <x:mergeCells>
    <x:mergeCell ref="A1:J1"/>
    <x:mergeCell ref="A5:J5"/>
    <x:mergeCell ref="A6:J6"/>
    <x:mergeCell ref="A30:J30"/>
  </x:mergeCells>
  <x:conditionalFormatting sqref="I9:I28">
    <x:cfRule type="containsText" dxfId="0" priority="1" operator="containsText" text="Investigate"/>
    <x:cfRule type="containsText" dxfId="2" priority="2" operator="containsText" text="Exception"/>
    <x:cfRule type="containsText" dxfId="3" priority="3" operator="containsText" text="Cleared"/>
  </x:conditionalFormatting>
  <x:dataValidations count="2">
    <x:dataValidation type="list" sqref="J3">
      <x:formula1>"Not started,In progress,Prepared,Reviewed"</x:formula1>
    </x:dataValidation>
    <x:dataValidation type="list" sqref="J9:J28">
      <x:formula1>Tickmarks!$A$4:$A$21</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13" hidden="0" customWidth="1"/>
    <x:col min="4" max="4" width="15" hidden="0" customWidth="1"/>
    <x:col min="5" max="5" width="13" hidden="0" customWidth="1"/>
    <x:col min="6" max="6" width="13" hidden="0" customWidth="1"/>
    <x:col min="7" max="7" width="13" hidden="0" customWidth="1"/>
    <x:col min="8" max="8" width="20" hidden="0" customWidth="1"/>
    <x:col min="9" max="9" width="13" hidden="0" customWidth="1"/>
    <x:col min="10" max="10" width="13" hidden="0" customWidth="1"/>
    <x:col min="11" max="11" width="13" hidden="0" customWidth="1"/>
    <x:col min="12" max="12" width="11" hidden="0" customWidth="1"/>
  </x:cols>
  <x:sheetData>
    <x:row r="1" ht="24" customHeight="1">
      <x:c r="A1" s="4" t="str">
        <x:v>E - Trade Receivables | E-2 Confirmations and subsequent cash receipts</x:v>
      </x:c>
      <x:c r="B1" s="4"/>
      <x:c r="C1" s="4"/>
      <x:c r="D1" s="4"/>
      <x:c r="E1" s="4"/>
      <x:c r="F1" s="4"/>
      <x:c r="G1" s="4"/>
      <x:c r="H1" s="4"/>
      <x:c r="I1" s="4"/>
      <x:c r="J1" s="4"/>
      <x:c r="K1" s="4"/>
      <x:c r="L1" s="4"/>
    </x:row>
    <x:row r="2">
      <x:c r="A2" s="62" t="str">
        <x:v>Entity</x:v>
      </x:c>
      <x:c r="B2" s="70" t="str">
        <x:f>'General'!B3</x:f>
        <x:v>[Enter entity name]</x:v>
      </x:c>
      <x:c r="C2" s="67" t="str">
        <x:v>Period end</x:v>
      </x:c>
      <x:c r="D2" s="73" t="str">
        <x:f>IF('General'!B4="","",'General'!B4)</x:f>
      </x:c>
      <x:c r="E2" s="67" t="str">
        <x:v>Currency</x:v>
      </x:c>
      <x:c r="F2" s="70" t="str">
        <x:f>'General'!B5</x:f>
        <x:v>GBP</x:v>
      </x:c>
      <x:c r="G2" s="67" t="str">
        <x:v>Prepared by</x:v>
      </x:c>
      <x:c r="H2" s="70" t="str">
        <x:f>'General'!B6</x:f>
        <x:v>[Name / date]</x:v>
      </x:c>
      <x:c r="I2" s="64" t="str">
        <x:v>Reviewed by</x:v>
      </x:c>
      <x:c r="J2" s="57" t="str">
        <x:f>'General'!B7</x:f>
        <x:v>[Name / date]</x:v>
      </x:c>
      <x:c r="K2" s="57"/>
      <x:c r="L2" s="58"/>
    </x:row>
    <x:row r="3">
      <x:c r="A3" s="63" t="str">
        <x:v>WP reference</x:v>
      </x:c>
      <x:c r="B3" s="71" t="str">
        <x:v>E-2</x:v>
      </x:c>
      <x:c r="C3" s="69" t="str">
        <x:v>Planning mat.</x:v>
      </x:c>
      <x:c r="D3" s="74" t="str">
        <x:f>IF('General'!B9="","",'General'!B9)</x:f>
      </x:c>
      <x:c r="E3" s="75" t="str">
        <x:v>Tolerable error</x:v>
      </x:c>
      <x:c r="F3" s="74" t="str">
        <x:f>IF('General'!B10="","",'General'!B10)</x:f>
      </x:c>
      <x:c r="G3" s="75" t="str">
        <x:v>SAD nominal</x:v>
      </x:c>
      <x:c r="H3" s="74" t="str">
        <x:f>IF('General'!B11="","",'General'!B11)</x:f>
      </x:c>
      <x:c r="I3" s="65" t="str">
        <x:v>Status</x:v>
      </x:c>
      <x:c r="J3" s="98" t="str">
        <x:v>Not started</x:v>
      </x:c>
      <x:c r="K3" s="60"/>
      <x:c r="L3" s="61"/>
    </x:row>
    <x:row r="4">
      <x:c r="A4" s="1"/>
      <x:c r="B4" s="1"/>
      <x:c r="C4" s="1"/>
      <x:c r="D4" s="1"/>
      <x:c r="E4" s="1"/>
      <x:c r="F4" s="1"/>
      <x:c r="G4" s="1"/>
      <x:c r="H4" s="1"/>
      <x:c r="I4" s="1"/>
      <x:c r="J4" s="1"/>
      <x:c r="K4" s="1"/>
      <x:c r="L4" s="1"/>
    </x:row>
    <x:row r="5" ht="44" customHeight="1">
      <x:c r="A5" s="78" t="str">
        <x:v>Objective: Obtain reliable external evidence over existence, rights, accuracy and valuation of selected receivable balances or open items through confirmations and, where replies are not received, complete alternative procedures for the full unconfirmed selection.</x:v>
      </x:c>
      <x:c r="B5" s="78"/>
      <x:c r="C5" s="78"/>
      <x:c r="D5" s="78"/>
      <x:c r="E5" s="78"/>
      <x:c r="F5" s="78"/>
      <x:c r="G5" s="78"/>
      <x:c r="H5" s="78"/>
      <x:c r="I5" s="78"/>
      <x:c r="J5" s="78"/>
      <x:c r="K5" s="78"/>
      <x:c r="L5" s="78"/>
    </x:row>
    <x:row r="6" ht="70" customHeight="1">
      <x:c r="A6" s="78" t="str">
        <x:v>Execution guidance: Agree the customer/open-item population to E-1; select key items and a representative residual sample using the documented risk assessment and tolerable error; maintain auditor control over confirmation preparation, dispatch and receipt; reconcile replies to the ledger; corroborate disagreements with external evidence; and for every non-response inspect subsequent receipts to bank statements and remittances or inspect orders, invoices and signed delivery/acceptance evidence. Quantify exceptions, project implications where relevant and determine whether additional testing is required.</x:v>
      </x:c>
      <x:c r="B6" s="78"/>
      <x:c r="C6" s="78"/>
      <x:c r="D6" s="78"/>
      <x:c r="E6" s="78"/>
      <x:c r="F6" s="78"/>
      <x:c r="G6" s="78"/>
      <x:c r="H6" s="78"/>
      <x:c r="I6" s="78"/>
      <x:c r="J6" s="78"/>
      <x:c r="K6" s="78"/>
      <x:c r="L6" s="78"/>
    </x:row>
    <x:row r="7">
      <x:c r="A7" s="1"/>
      <x:c r="B7" s="1"/>
      <x:c r="C7" s="1"/>
      <x:c r="D7" s="1"/>
      <x:c r="E7" s="1"/>
      <x:c r="F7" s="1"/>
      <x:c r="G7" s="1"/>
      <x:c r="H7" s="1"/>
      <x:c r="I7" s="1"/>
      <x:c r="J7" s="1"/>
      <x:c r="K7" s="1"/>
      <x:c r="L7" s="1"/>
    </x:row>
    <x:row r="8" ht="40" customHeight="1">
      <x:c r="A8" s="82" t="str">
        <x:v>Sample</x:v>
      </x:c>
      <x:c r="B8" s="82" t="str">
        <x:v>Customer / item</x:v>
      </x:c>
      <x:c r="C8" s="82" t="str">
        <x:v>Book balance</x:v>
      </x:c>
      <x:c r="D8" s="82" t="str">
        <x:v>Confirmation type</x:v>
      </x:c>
      <x:c r="E8" s="82" t="str">
        <x:v>Response</x:v>
      </x:c>
      <x:c r="F8" s="82" t="str">
        <x:v>Confirmed amount</x:v>
      </x:c>
      <x:c r="G8" s="82" t="str">
        <x:v>Subsequent cash</x:v>
      </x:c>
      <x:c r="H8" s="82" t="str">
        <x:v>Other evidence</x:v>
      </x:c>
      <x:c r="I8" s="82" t="str">
        <x:v>Difference</x:v>
      </x:c>
      <x:c r="J8" s="82" t="str">
        <x:v>Exception ref.</x:v>
      </x:c>
      <x:c r="K8" s="82" t="str">
        <x:v>Result</x:v>
      </x:c>
      <x:c r="L8" s="82" t="str">
        <x:v>Tickmarks</x:v>
      </x:c>
    </x:row>
    <x:row r="9" ht="22" customHeight="1">
      <x:c r="A9" s="108"/>
      <x:c r="B9" s="108"/>
      <x:c r="C9" s="109"/>
      <x:c r="D9" s="108"/>
      <x:c r="E9" s="108"/>
      <x:c r="F9" s="109"/>
      <x:c r="G9" s="109"/>
      <x:c r="H9" s="109"/>
      <x:c r="I9" s="110" t="n">
        <x:f>IF(E9="Received",C9-F9,IF(E9="No response",C9-G9,0))</x:f>
        <x:v>0</x:v>
      </x:c>
      <x:c r="J9" s="108"/>
      <x:c r="K9" s="111" t="str">
        <x:f>IF(B9="","",IF(ABS(I9)&lt;='General'!$B$11,"Cleared","Exception"))</x:f>
      </x:c>
      <x:c r="L9" s="108"/>
    </x:row>
    <x:row r="10" ht="22" customHeight="1">
      <x:c r="A10" s="108"/>
      <x:c r="B10" s="108"/>
      <x:c r="C10" s="109"/>
      <x:c r="D10" s="108"/>
      <x:c r="E10" s="108"/>
      <x:c r="F10" s="109"/>
      <x:c r="G10" s="109"/>
      <x:c r="H10" s="109"/>
      <x:c r="I10" s="110" t="n">
        <x:f>IF(E10="Received",C10-F10,IF(E10="No response",C10-G10,0))</x:f>
        <x:v>0</x:v>
      </x:c>
      <x:c r="J10" s="108"/>
      <x:c r="K10" s="111" t="str">
        <x:f>IF(B10="","",IF(ABS(I10)&lt;='General'!$B$11,"Cleared","Exception"))</x:f>
      </x:c>
      <x:c r="L10" s="108"/>
    </x:row>
    <x:row r="11" ht="22" customHeight="1">
      <x:c r="A11" s="108"/>
      <x:c r="B11" s="108"/>
      <x:c r="C11" s="109"/>
      <x:c r="D11" s="108"/>
      <x:c r="E11" s="108"/>
      <x:c r="F11" s="109"/>
      <x:c r="G11" s="109"/>
      <x:c r="H11" s="109"/>
      <x:c r="I11" s="110" t="n">
        <x:f>IF(E11="Received",C11-F11,IF(E11="No response",C11-G11,0))</x:f>
        <x:v>0</x:v>
      </x:c>
      <x:c r="J11" s="108"/>
      <x:c r="K11" s="111" t="str">
        <x:f>IF(B11="","",IF(ABS(I11)&lt;='General'!$B$11,"Cleared","Exception"))</x:f>
      </x:c>
      <x:c r="L11" s="108"/>
    </x:row>
    <x:row r="12" ht="22" customHeight="1">
      <x:c r="A12" s="108"/>
      <x:c r="B12" s="108"/>
      <x:c r="C12" s="109"/>
      <x:c r="D12" s="108"/>
      <x:c r="E12" s="108"/>
      <x:c r="F12" s="109"/>
      <x:c r="G12" s="109"/>
      <x:c r="H12" s="109"/>
      <x:c r="I12" s="110" t="n">
        <x:f>IF(E12="Received",C12-F12,IF(E12="No response",C12-G12,0))</x:f>
        <x:v>0</x:v>
      </x:c>
      <x:c r="J12" s="108"/>
      <x:c r="K12" s="111" t="str">
        <x:f>IF(B12="","",IF(ABS(I12)&lt;='General'!$B$11,"Cleared","Exception"))</x:f>
      </x:c>
      <x:c r="L12" s="108"/>
    </x:row>
    <x:row r="13" ht="22" customHeight="1">
      <x:c r="A13" s="108"/>
      <x:c r="B13" s="108"/>
      <x:c r="C13" s="109"/>
      <x:c r="D13" s="108"/>
      <x:c r="E13" s="108"/>
      <x:c r="F13" s="109"/>
      <x:c r="G13" s="109"/>
      <x:c r="H13" s="109"/>
      <x:c r="I13" s="110" t="n">
        <x:f>IF(E13="Received",C13-F13,IF(E13="No response",C13-G13,0))</x:f>
        <x:v>0</x:v>
      </x:c>
      <x:c r="J13" s="108"/>
      <x:c r="K13" s="111" t="str">
        <x:f>IF(B13="","",IF(ABS(I13)&lt;='General'!$B$11,"Cleared","Exception"))</x:f>
      </x:c>
      <x:c r="L13" s="108"/>
    </x:row>
    <x:row r="14" ht="22" customHeight="1">
      <x:c r="A14" s="108"/>
      <x:c r="B14" s="108"/>
      <x:c r="C14" s="109"/>
      <x:c r="D14" s="108"/>
      <x:c r="E14" s="108"/>
      <x:c r="F14" s="109"/>
      <x:c r="G14" s="109"/>
      <x:c r="H14" s="109"/>
      <x:c r="I14" s="110" t="n">
        <x:f>IF(E14="Received",C14-F14,IF(E14="No response",C14-G14,0))</x:f>
        <x:v>0</x:v>
      </x:c>
      <x:c r="J14" s="108"/>
      <x:c r="K14" s="111" t="str">
        <x:f>IF(B14="","",IF(ABS(I14)&lt;='General'!$B$11,"Cleared","Exception"))</x:f>
      </x:c>
      <x:c r="L14" s="108"/>
    </x:row>
    <x:row r="15" ht="22" customHeight="1">
      <x:c r="A15" s="108"/>
      <x:c r="B15" s="108"/>
      <x:c r="C15" s="109"/>
      <x:c r="D15" s="108"/>
      <x:c r="E15" s="108"/>
      <x:c r="F15" s="109"/>
      <x:c r="G15" s="109"/>
      <x:c r="H15" s="109"/>
      <x:c r="I15" s="110" t="n">
        <x:f>IF(E15="Received",C15-F15,IF(E15="No response",C15-G15,0))</x:f>
        <x:v>0</x:v>
      </x:c>
      <x:c r="J15" s="108"/>
      <x:c r="K15" s="111" t="str">
        <x:f>IF(B15="","",IF(ABS(I15)&lt;='General'!$B$11,"Cleared","Exception"))</x:f>
      </x:c>
      <x:c r="L15" s="108"/>
    </x:row>
    <x:row r="16" ht="22" customHeight="1">
      <x:c r="A16" s="108"/>
      <x:c r="B16" s="108"/>
      <x:c r="C16" s="109"/>
      <x:c r="D16" s="108"/>
      <x:c r="E16" s="108"/>
      <x:c r="F16" s="109"/>
      <x:c r="G16" s="109"/>
      <x:c r="H16" s="109"/>
      <x:c r="I16" s="110" t="n">
        <x:f>IF(E16="Received",C16-F16,IF(E16="No response",C16-G16,0))</x:f>
        <x:v>0</x:v>
      </x:c>
      <x:c r="J16" s="108"/>
      <x:c r="K16" s="111" t="str">
        <x:f>IF(B16="","",IF(ABS(I16)&lt;='General'!$B$11,"Cleared","Exception"))</x:f>
      </x:c>
      <x:c r="L16" s="108"/>
    </x:row>
    <x:row r="17" ht="22" customHeight="1">
      <x:c r="A17" s="108"/>
      <x:c r="B17" s="108"/>
      <x:c r="C17" s="109"/>
      <x:c r="D17" s="108"/>
      <x:c r="E17" s="108"/>
      <x:c r="F17" s="109"/>
      <x:c r="G17" s="109"/>
      <x:c r="H17" s="109"/>
      <x:c r="I17" s="110" t="n">
        <x:f>IF(E17="Received",C17-F17,IF(E17="No response",C17-G17,0))</x:f>
        <x:v>0</x:v>
      </x:c>
      <x:c r="J17" s="108"/>
      <x:c r="K17" s="111" t="str">
        <x:f>IF(B17="","",IF(ABS(I17)&lt;='General'!$B$11,"Cleared","Exception"))</x:f>
      </x:c>
      <x:c r="L17" s="108"/>
    </x:row>
    <x:row r="18" ht="22" customHeight="1">
      <x:c r="A18" s="108"/>
      <x:c r="B18" s="108"/>
      <x:c r="C18" s="109"/>
      <x:c r="D18" s="108"/>
      <x:c r="E18" s="108"/>
      <x:c r="F18" s="109"/>
      <x:c r="G18" s="109"/>
      <x:c r="H18" s="109"/>
      <x:c r="I18" s="110" t="n">
        <x:f>IF(E18="Received",C18-F18,IF(E18="No response",C18-G18,0))</x:f>
        <x:v>0</x:v>
      </x:c>
      <x:c r="J18" s="108"/>
      <x:c r="K18" s="111" t="str">
        <x:f>IF(B18="","",IF(ABS(I18)&lt;='General'!$B$11,"Cleared","Exception"))</x:f>
      </x:c>
      <x:c r="L18" s="108"/>
    </x:row>
    <x:row r="19" ht="22" customHeight="1">
      <x:c r="A19" s="108"/>
      <x:c r="B19" s="108"/>
      <x:c r="C19" s="109"/>
      <x:c r="D19" s="108"/>
      <x:c r="E19" s="108"/>
      <x:c r="F19" s="109"/>
      <x:c r="G19" s="109"/>
      <x:c r="H19" s="109"/>
      <x:c r="I19" s="110" t="n">
        <x:f>IF(E19="Received",C19-F19,IF(E19="No response",C19-G19,0))</x:f>
        <x:v>0</x:v>
      </x:c>
      <x:c r="J19" s="108"/>
      <x:c r="K19" s="111" t="str">
        <x:f>IF(B19="","",IF(ABS(I19)&lt;='General'!$B$11,"Cleared","Exception"))</x:f>
      </x:c>
      <x:c r="L19" s="108"/>
    </x:row>
    <x:row r="20" ht="22" customHeight="1">
      <x:c r="A20" s="108"/>
      <x:c r="B20" s="108"/>
      <x:c r="C20" s="109"/>
      <x:c r="D20" s="108"/>
      <x:c r="E20" s="108"/>
      <x:c r="F20" s="109"/>
      <x:c r="G20" s="109"/>
      <x:c r="H20" s="109"/>
      <x:c r="I20" s="110" t="n">
        <x:f>IF(E20="Received",C20-F20,IF(E20="No response",C20-G20,0))</x:f>
        <x:v>0</x:v>
      </x:c>
      <x:c r="J20" s="108"/>
      <x:c r="K20" s="111" t="str">
        <x:f>IF(B20="","",IF(ABS(I20)&lt;='General'!$B$11,"Cleared","Exception"))</x:f>
      </x:c>
      <x:c r="L20" s="108"/>
    </x:row>
    <x:row r="21" ht="22" customHeight="1">
      <x:c r="A21" s="108"/>
      <x:c r="B21" s="108"/>
      <x:c r="C21" s="109"/>
      <x:c r="D21" s="108"/>
      <x:c r="E21" s="108"/>
      <x:c r="F21" s="109"/>
      <x:c r="G21" s="109"/>
      <x:c r="H21" s="109"/>
      <x:c r="I21" s="110" t="n">
        <x:f>IF(E21="Received",C21-F21,IF(E21="No response",C21-G21,0))</x:f>
        <x:v>0</x:v>
      </x:c>
      <x:c r="J21" s="108"/>
      <x:c r="K21" s="111" t="str">
        <x:f>IF(B21="","",IF(ABS(I21)&lt;='General'!$B$11,"Cleared","Exception"))</x:f>
      </x:c>
      <x:c r="L21" s="108"/>
    </x:row>
    <x:row r="22" ht="22" customHeight="1">
      <x:c r="A22" s="108"/>
      <x:c r="B22" s="108"/>
      <x:c r="C22" s="109"/>
      <x:c r="D22" s="108"/>
      <x:c r="E22" s="108"/>
      <x:c r="F22" s="109"/>
      <x:c r="G22" s="109"/>
      <x:c r="H22" s="109"/>
      <x:c r="I22" s="110" t="n">
        <x:f>IF(E22="Received",C22-F22,IF(E22="No response",C22-G22,0))</x:f>
        <x:v>0</x:v>
      </x:c>
      <x:c r="J22" s="108"/>
      <x:c r="K22" s="111" t="str">
        <x:f>IF(B22="","",IF(ABS(I22)&lt;='General'!$B$11,"Cleared","Exception"))</x:f>
      </x:c>
      <x:c r="L22" s="108"/>
    </x:row>
    <x:row r="23" ht="22" customHeight="1">
      <x:c r="A23" s="108"/>
      <x:c r="B23" s="108"/>
      <x:c r="C23" s="109"/>
      <x:c r="D23" s="108"/>
      <x:c r="E23" s="108"/>
      <x:c r="F23" s="109"/>
      <x:c r="G23" s="109"/>
      <x:c r="H23" s="109"/>
      <x:c r="I23" s="110" t="n">
        <x:f>IF(E23="Received",C23-F23,IF(E23="No response",C23-G23,0))</x:f>
        <x:v>0</x:v>
      </x:c>
      <x:c r="J23" s="108"/>
      <x:c r="K23" s="111" t="str">
        <x:f>IF(B23="","",IF(ABS(I23)&lt;='General'!$B$11,"Cleared","Exception"))</x:f>
      </x:c>
      <x:c r="L23" s="108"/>
    </x:row>
    <x:row r="24" ht="22" customHeight="1">
      <x:c r="A24" s="108"/>
      <x:c r="B24" s="108"/>
      <x:c r="C24" s="109"/>
      <x:c r="D24" s="108"/>
      <x:c r="E24" s="108"/>
      <x:c r="F24" s="109"/>
      <x:c r="G24" s="109"/>
      <x:c r="H24" s="109"/>
      <x:c r="I24" s="110" t="n">
        <x:f>IF(E24="Received",C24-F24,IF(E24="No response",C24-G24,0))</x:f>
        <x:v>0</x:v>
      </x:c>
      <x:c r="J24" s="108"/>
      <x:c r="K24" s="111" t="str">
        <x:f>IF(B24="","",IF(ABS(I24)&lt;='General'!$B$11,"Cleared","Exception"))</x:f>
      </x:c>
      <x:c r="L24" s="108"/>
    </x:row>
    <x:row r="25" ht="22" customHeight="1">
      <x:c r="A25" s="108"/>
      <x:c r="B25" s="108"/>
      <x:c r="C25" s="109"/>
      <x:c r="D25" s="108"/>
      <x:c r="E25" s="108"/>
      <x:c r="F25" s="109"/>
      <x:c r="G25" s="109"/>
      <x:c r="H25" s="109"/>
      <x:c r="I25" s="110" t="n">
        <x:f>IF(E25="Received",C25-F25,IF(E25="No response",C25-G25,0))</x:f>
        <x:v>0</x:v>
      </x:c>
      <x:c r="J25" s="108"/>
      <x:c r="K25" s="111" t="str">
        <x:f>IF(B25="","",IF(ABS(I25)&lt;='General'!$B$11,"Cleared","Exception"))</x:f>
      </x:c>
      <x:c r="L25" s="108"/>
    </x:row>
    <x:row r="26" ht="22" customHeight="1">
      <x:c r="A26" s="108"/>
      <x:c r="B26" s="108"/>
      <x:c r="C26" s="109"/>
      <x:c r="D26" s="108"/>
      <x:c r="E26" s="108"/>
      <x:c r="F26" s="109"/>
      <x:c r="G26" s="109"/>
      <x:c r="H26" s="109"/>
      <x:c r="I26" s="110" t="n">
        <x:f>IF(E26="Received",C26-F26,IF(E26="No response",C26-G26,0))</x:f>
        <x:v>0</x:v>
      </x:c>
      <x:c r="J26" s="108"/>
      <x:c r="K26" s="111" t="str">
        <x:f>IF(B26="","",IF(ABS(I26)&lt;='General'!$B$11,"Cleared","Exception"))</x:f>
      </x:c>
      <x:c r="L26" s="108"/>
    </x:row>
    <x:row r="27" ht="22" customHeight="1">
      <x:c r="A27" s="108"/>
      <x:c r="B27" s="108"/>
      <x:c r="C27" s="109"/>
      <x:c r="D27" s="108"/>
      <x:c r="E27" s="108"/>
      <x:c r="F27" s="109"/>
      <x:c r="G27" s="109"/>
      <x:c r="H27" s="109"/>
      <x:c r="I27" s="110" t="n">
        <x:f>IF(E27="Received",C27-F27,IF(E27="No response",C27-G27,0))</x:f>
        <x:v>0</x:v>
      </x:c>
      <x:c r="J27" s="108"/>
      <x:c r="K27" s="111" t="str">
        <x:f>IF(B27="","",IF(ABS(I27)&lt;='General'!$B$11,"Cleared","Exception"))</x:f>
      </x:c>
      <x:c r="L27" s="108"/>
    </x:row>
    <x:row r="28" ht="22" customHeight="1">
      <x:c r="A28" s="108"/>
      <x:c r="B28" s="108"/>
      <x:c r="C28" s="109"/>
      <x:c r="D28" s="108"/>
      <x:c r="E28" s="108"/>
      <x:c r="F28" s="109"/>
      <x:c r="G28" s="109"/>
      <x:c r="H28" s="109"/>
      <x:c r="I28" s="110" t="n">
        <x:f>IF(E28="Received",C28-F28,IF(E28="No response",C28-G28,0))</x:f>
        <x:v>0</x:v>
      </x:c>
      <x:c r="J28" s="108"/>
      <x:c r="K28" s="111" t="str">
        <x:f>IF(B28="","",IF(ABS(I28)&lt;='General'!$B$11,"Cleared","Exception"))</x:f>
      </x:c>
      <x:c r="L28" s="108"/>
    </x:row>
    <x:row r="29">
      <x:c r="A29" s="1"/>
      <x:c r="B29" s="1"/>
      <x:c r="C29" s="1"/>
      <x:c r="D29" s="1"/>
      <x:c r="E29" s="1"/>
      <x:c r="F29" s="1"/>
      <x:c r="G29" s="1"/>
      <x:c r="H29" s="1"/>
      <x:c r="I29" s="1"/>
      <x:c r="J29" s="1"/>
      <x:c r="K29" s="1"/>
      <x:c r="L29" s="1"/>
    </x:row>
    <x:row r="30">
      <x:c r="A30" s="95" t="str">
        <x:v>Conclusion: [Document the results, identified or projected misstatements, unresolved matters, and whether the audit objective has been achieved.]</x:v>
      </x:c>
      <x:c r="B30" s="96"/>
      <x:c r="C30" s="96"/>
      <x:c r="D30" s="96"/>
      <x:c r="E30" s="96"/>
      <x:c r="F30" s="96"/>
      <x:c r="G30" s="96"/>
      <x:c r="H30" s="96"/>
      <x:c r="I30" s="96"/>
      <x:c r="J30" s="96"/>
      <x:c r="K30" s="96"/>
      <x:c r="L30" s="97"/>
    </x:row>
    <x:row r="31">
      <x:c r="A31" s="1"/>
      <x:c r="B31" s="1"/>
      <x:c r="C31" s="1"/>
      <x:c r="D31" s="1"/>
      <x:c r="E31" s="1"/>
      <x:c r="F31" s="1"/>
      <x:c r="G31" s="1"/>
      <x:c r="H31" s="1"/>
      <x:c r="I31" s="1"/>
      <x:c r="J31" s="1"/>
      <x:c r="K31" s="1"/>
      <x:c r="L31" s="1"/>
    </x:row>
    <x:row r="32">
      <x:c r="A32" s="1"/>
      <x:c r="B32" s="1"/>
      <x:c r="C32" s="1"/>
      <x:c r="D32" s="1"/>
      <x:c r="E32" s="1"/>
      <x:c r="F32" s="1"/>
      <x:c r="G32" s="1"/>
      <x:c r="H32" s="1"/>
      <x:c r="I32" s="1"/>
      <x:c r="J32" s="1"/>
      <x:c r="K32" s="1"/>
      <x:c r="L32" s="1"/>
    </x:row>
    <x:row r="33">
      <x:c r="A33" s="1"/>
      <x:c r="B33" s="1"/>
      <x:c r="C33" s="1"/>
      <x:c r="D33" s="1"/>
      <x:c r="E33" s="1"/>
      <x:c r="F33" s="1"/>
      <x:c r="G33" s="1"/>
      <x:c r="H33" s="1"/>
      <x:c r="I33" s="1"/>
      <x:c r="J33" s="1"/>
      <x:c r="K33" s="1"/>
      <x:c r="L33" s="1"/>
    </x:row>
    <x:row r="34">
      <x:c r="A34" s="1"/>
      <x:c r="B34" s="1"/>
      <x:c r="C34" s="1"/>
      <x:c r="D34" s="1"/>
      <x:c r="E34" s="1"/>
      <x:c r="F34" s="1"/>
      <x:c r="G34" s="1"/>
      <x:c r="H34" s="1"/>
      <x:c r="I34" s="1"/>
      <x:c r="J34" s="1"/>
      <x:c r="K34" s="1"/>
      <x:c r="L34" s="1"/>
    </x:row>
  </x:sheetData>
  <x:mergeCells>
    <x:mergeCell ref="A1:L1"/>
    <x:mergeCell ref="A5:L5"/>
    <x:mergeCell ref="A6:L6"/>
    <x:mergeCell ref="A30:L30"/>
  </x:mergeCells>
  <x:conditionalFormatting sqref="K9:K28">
    <x:cfRule type="containsText" dxfId="1" priority="1" operator="containsText" text="Exception"/>
    <x:cfRule type="containsText" dxfId="4" priority="2" operator="containsText" text="Exception"/>
    <x:cfRule type="containsText" dxfId="5" priority="3" operator="containsText" text="Cleared"/>
  </x:conditionalFormatting>
  <x:dataValidations count="4">
    <x:dataValidation type="list" sqref="J3">
      <x:formula1>"Not started,In progress,Prepared,Reviewed"</x:formula1>
    </x:dataValidation>
    <x:dataValidation type="list" sqref="D9:D28">
      <x:formula1>"Positive,Blank positive,Negative"</x:formula1>
    </x:dataValidation>
    <x:dataValidation type="list" sqref="E9:E28">
      <x:formula1>"Not sent,Sent,Received,No response,Disputed"</x:formula1>
    </x:dataValidation>
    <x:dataValidation type="list" sqref="L9:L28">
      <x:formula1>Tickmarks!$A$4:$A$21</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21"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24" hidden="0" customWidth="1"/>
    <x:col min="10" max="10" width="13" hidden="0" customWidth="1"/>
    <x:col min="11" max="11" width="11" hidden="0" customWidth="1"/>
  </x:cols>
  <x:sheetData>
    <x:row r="1" ht="24" customHeight="1">
      <x:c r="A1" s="4" t="str">
        <x:v>E - Trade Receivables | E-3 Roll-forward procedures</x:v>
      </x:c>
      <x:c r="B1" s="4"/>
      <x:c r="C1" s="4"/>
      <x:c r="D1" s="4"/>
      <x:c r="E1" s="4"/>
      <x:c r="F1" s="4"/>
      <x:c r="G1" s="4"/>
      <x:c r="H1" s="4"/>
      <x:c r="I1" s="4"/>
      <x:c r="J1" s="4"/>
      <x:c r="K1" s="4"/>
    </x:row>
    <x:row r="2">
      <x:c r="A2" s="62" t="str">
        <x:v>Entity</x:v>
      </x:c>
      <x:c r="B2" s="70" t="str">
        <x:f>'General'!B3</x:f>
        <x:v>[Enter entity name]</x:v>
      </x:c>
      <x:c r="C2" s="67" t="str">
        <x:v>Period end</x:v>
      </x:c>
      <x:c r="D2" s="73" t="str">
        <x:f>IF('General'!B4="","",'General'!B4)</x:f>
      </x:c>
      <x:c r="E2" s="67" t="str">
        <x:v>Currency</x:v>
      </x:c>
      <x:c r="F2" s="70" t="str">
        <x:f>'General'!B5</x:f>
        <x:v>GBP</x:v>
      </x:c>
      <x:c r="G2" s="67" t="str">
        <x:v>Prepared by</x:v>
      </x:c>
      <x:c r="H2" s="70" t="str">
        <x:f>'General'!B6</x:f>
        <x:v>[Name / date]</x:v>
      </x:c>
      <x:c r="I2" s="64" t="str">
        <x:v>Reviewed by</x:v>
      </x:c>
      <x:c r="J2" s="57" t="str">
        <x:f>'General'!B7</x:f>
        <x:v>[Name / date]</x:v>
      </x:c>
      <x:c r="K2" s="58"/>
    </x:row>
    <x:row r="3">
      <x:c r="A3" s="63" t="str">
        <x:v>WP reference</x:v>
      </x:c>
      <x:c r="B3" s="71" t="str">
        <x:v>E-3</x:v>
      </x:c>
      <x:c r="C3" s="69" t="str">
        <x:v>Planning mat.</x:v>
      </x:c>
      <x:c r="D3" s="74" t="str">
        <x:f>IF('General'!B9="","",'General'!B9)</x:f>
      </x:c>
      <x:c r="E3" s="75" t="str">
        <x:v>Tolerable error</x:v>
      </x:c>
      <x:c r="F3" s="74" t="str">
        <x:f>IF('General'!B10="","",'General'!B10)</x:f>
      </x:c>
      <x:c r="G3" s="75" t="str">
        <x:v>SAD nominal</x:v>
      </x:c>
      <x:c r="H3" s="74" t="str">
        <x:f>IF('General'!B11="","",'General'!B11)</x:f>
      </x:c>
      <x:c r="I3" s="65" t="str">
        <x:v>Status</x:v>
      </x:c>
      <x:c r="J3" s="98" t="str">
        <x:v>Not started</x:v>
      </x:c>
      <x:c r="K3" s="61"/>
    </x:row>
    <x:row r="4">
      <x:c r="A4" s="1"/>
      <x:c r="B4" s="1"/>
      <x:c r="C4" s="1"/>
      <x:c r="D4" s="1"/>
      <x:c r="E4" s="1"/>
      <x:c r="F4" s="1"/>
      <x:c r="G4" s="1"/>
      <x:c r="H4" s="1"/>
      <x:c r="I4" s="1"/>
      <x:c r="J4" s="1"/>
      <x:c r="K4" s="1"/>
    </x:row>
    <x:row r="5" ht="44" customHeight="1">
      <x:c r="A5" s="78" t="str">
        <x:v>Objective: Bridge receivables work performed at an interim date to the reporting date and obtain sufficient evidence that the tested population remains representative after considering sales, receipts, credit notes, journals and changes in customer balances.</x:v>
      </x:c>
      <x:c r="B5" s="78"/>
      <x:c r="C5" s="78"/>
      <x:c r="D5" s="78"/>
      <x:c r="E5" s="78"/>
      <x:c r="F5" s="78"/>
      <x:c r="G5" s="78"/>
      <x:c r="H5" s="78"/>
      <x:c r="I5" s="78"/>
      <x:c r="J5" s="78"/>
      <x:c r="K5" s="78"/>
    </x:row>
    <x:row r="6" ht="70" customHeight="1">
      <x:c r="A6" s="78" t="str">
        <x:v>Execution guidance: Reconcile the interim balance to year-end by movement type; perform cut-off procedures at both dates; develop expectations using prior periods, interim results and knowledge of business changes; identify new or lost significant customers, unusual activity, significant increases/decreases and unexpected credit notes; test the bridge in more detail where inherent risk is higher; vouch selected movements to evidence; and consider reconfirmation when anomalies arise or the combined risk assessment is high.</x:v>
      </x:c>
      <x:c r="B6" s="78"/>
      <x:c r="C6" s="78"/>
      <x:c r="D6" s="78"/>
      <x:c r="E6" s="78"/>
      <x:c r="F6" s="78"/>
      <x:c r="G6" s="78"/>
      <x:c r="H6" s="78"/>
      <x:c r="I6" s="78"/>
      <x:c r="J6" s="78"/>
      <x:c r="K6" s="78"/>
    </x:row>
    <x:row r="7">
      <x:c r="A7" s="1"/>
      <x:c r="B7" s="1"/>
      <x:c r="C7" s="1"/>
      <x:c r="D7" s="1"/>
      <x:c r="E7" s="1"/>
      <x:c r="F7" s="1"/>
      <x:c r="G7" s="1"/>
      <x:c r="H7" s="1"/>
      <x:c r="I7" s="1"/>
      <x:c r="J7" s="1"/>
      <x:c r="K7" s="1"/>
    </x:row>
    <x:row r="8" ht="40" customHeight="1">
      <x:c r="A8" s="82" t="str">
        <x:v>Ref.</x:v>
      </x:c>
      <x:c r="B8" s="82" t="str">
        <x:v>Customer / account</x:v>
      </x:c>
      <x:c r="C8" s="82" t="str">
        <x:v>Interim balance</x:v>
      </x:c>
      <x:c r="D8" s="82" t="str">
        <x:v>Sales / debits</x:v>
      </x:c>
      <x:c r="E8" s="82" t="str">
        <x:v>Cash / credits</x:v>
      </x:c>
      <x:c r="F8" s="82" t="str">
        <x:v>Expected final</x:v>
      </x:c>
      <x:c r="G8" s="82" t="str">
        <x:v>Actual final</x:v>
      </x:c>
      <x:c r="H8" s="82" t="str">
        <x:v>Difference</x:v>
      </x:c>
      <x:c r="I8" s="82" t="str">
        <x:v>Movement explanation</x:v>
      </x:c>
      <x:c r="J8" s="82" t="str">
        <x:v>Result</x:v>
      </x:c>
      <x:c r="K8" s="82" t="str">
        <x:v>Tickmarks</x:v>
      </x:c>
    </x:row>
    <x:row r="9" ht="22" customHeight="1">
      <x:c r="A9" s="108"/>
      <x:c r="B9" s="108"/>
      <x:c r="C9" s="109"/>
      <x:c r="D9" s="109"/>
      <x:c r="E9" s="109"/>
      <x:c r="F9" s="110" t="n">
        <x:f>C9+D9-E9</x:f>
        <x:v>0</x:v>
      </x:c>
      <x:c r="G9" s="109"/>
      <x:c r="H9" s="110" t="n">
        <x:f>G9-F9</x:f>
        <x:v>0</x:v>
      </x:c>
      <x:c r="I9" s="108"/>
      <x:c r="J9" s="111" t="str">
        <x:f>IF(B9="","",IF(ABS(H9)&lt;='General'!$B$11,"Cleared","Investigate"))</x:f>
      </x:c>
      <x:c r="K9" s="108"/>
    </x:row>
    <x:row r="10" ht="22" customHeight="1">
      <x:c r="A10" s="108"/>
      <x:c r="B10" s="108"/>
      <x:c r="C10" s="109"/>
      <x:c r="D10" s="109"/>
      <x:c r="E10" s="109"/>
      <x:c r="F10" s="110" t="n">
        <x:f>C10+D10-E10</x:f>
        <x:v>0</x:v>
      </x:c>
      <x:c r="G10" s="109"/>
      <x:c r="H10" s="110" t="n">
        <x:f>G10-F10</x:f>
        <x:v>0</x:v>
      </x:c>
      <x:c r="I10" s="108"/>
      <x:c r="J10" s="111" t="str">
        <x:f>IF(B10="","",IF(ABS(H10)&lt;='General'!$B$11,"Cleared","Investigate"))</x:f>
      </x:c>
      <x:c r="K10" s="108"/>
    </x:row>
    <x:row r="11" ht="22" customHeight="1">
      <x:c r="A11" s="108"/>
      <x:c r="B11" s="108"/>
      <x:c r="C11" s="109"/>
      <x:c r="D11" s="109"/>
      <x:c r="E11" s="109"/>
      <x:c r="F11" s="110" t="n">
        <x:f>C11+D11-E11</x:f>
        <x:v>0</x:v>
      </x:c>
      <x:c r="G11" s="109"/>
      <x:c r="H11" s="110" t="n">
        <x:f>G11-F11</x:f>
        <x:v>0</x:v>
      </x:c>
      <x:c r="I11" s="108"/>
      <x:c r="J11" s="111" t="str">
        <x:f>IF(B11="","",IF(ABS(H11)&lt;='General'!$B$11,"Cleared","Investigate"))</x:f>
      </x:c>
      <x:c r="K11" s="108"/>
    </x:row>
    <x:row r="12" ht="22" customHeight="1">
      <x:c r="A12" s="108"/>
      <x:c r="B12" s="108"/>
      <x:c r="C12" s="109"/>
      <x:c r="D12" s="109"/>
      <x:c r="E12" s="109"/>
      <x:c r="F12" s="110" t="n">
        <x:f>C12+D12-E12</x:f>
        <x:v>0</x:v>
      </x:c>
      <x:c r="G12" s="109"/>
      <x:c r="H12" s="110" t="n">
        <x:f>G12-F12</x:f>
        <x:v>0</x:v>
      </x:c>
      <x:c r="I12" s="108"/>
      <x:c r="J12" s="111" t="str">
        <x:f>IF(B12="","",IF(ABS(H12)&lt;='General'!$B$11,"Cleared","Investigate"))</x:f>
      </x:c>
      <x:c r="K12" s="108"/>
    </x:row>
    <x:row r="13" ht="22" customHeight="1">
      <x:c r="A13" s="108"/>
      <x:c r="B13" s="108"/>
      <x:c r="C13" s="109"/>
      <x:c r="D13" s="109"/>
      <x:c r="E13" s="109"/>
      <x:c r="F13" s="110" t="n">
        <x:f>C13+D13-E13</x:f>
        <x:v>0</x:v>
      </x:c>
      <x:c r="G13" s="109"/>
      <x:c r="H13" s="110" t="n">
        <x:f>G13-F13</x:f>
        <x:v>0</x:v>
      </x:c>
      <x:c r="I13" s="108"/>
      <x:c r="J13" s="111" t="str">
        <x:f>IF(B13="","",IF(ABS(H13)&lt;='General'!$B$11,"Cleared","Investigate"))</x:f>
      </x:c>
      <x:c r="K13" s="108"/>
    </x:row>
    <x:row r="14" ht="22" customHeight="1">
      <x:c r="A14" s="108"/>
      <x:c r="B14" s="108"/>
      <x:c r="C14" s="109"/>
      <x:c r="D14" s="109"/>
      <x:c r="E14" s="109"/>
      <x:c r="F14" s="110" t="n">
        <x:f>C14+D14-E14</x:f>
        <x:v>0</x:v>
      </x:c>
      <x:c r="G14" s="109"/>
      <x:c r="H14" s="110" t="n">
        <x:f>G14-F14</x:f>
        <x:v>0</x:v>
      </x:c>
      <x:c r="I14" s="108"/>
      <x:c r="J14" s="111" t="str">
        <x:f>IF(B14="","",IF(ABS(H14)&lt;='General'!$B$11,"Cleared","Investigate"))</x:f>
      </x:c>
      <x:c r="K14" s="108"/>
    </x:row>
    <x:row r="15" ht="22" customHeight="1">
      <x:c r="A15" s="108"/>
      <x:c r="B15" s="108"/>
      <x:c r="C15" s="109"/>
      <x:c r="D15" s="109"/>
      <x:c r="E15" s="109"/>
      <x:c r="F15" s="110" t="n">
        <x:f>C15+D15-E15</x:f>
        <x:v>0</x:v>
      </x:c>
      <x:c r="G15" s="109"/>
      <x:c r="H15" s="110" t="n">
        <x:f>G15-F15</x:f>
        <x:v>0</x:v>
      </x:c>
      <x:c r="I15" s="108"/>
      <x:c r="J15" s="111" t="str">
        <x:f>IF(B15="","",IF(ABS(H15)&lt;='General'!$B$11,"Cleared","Investigate"))</x:f>
      </x:c>
      <x:c r="K15" s="108"/>
    </x:row>
    <x:row r="16" ht="22" customHeight="1">
      <x:c r="A16" s="108"/>
      <x:c r="B16" s="108"/>
      <x:c r="C16" s="109"/>
      <x:c r="D16" s="109"/>
      <x:c r="E16" s="109"/>
      <x:c r="F16" s="110" t="n">
        <x:f>C16+D16-E16</x:f>
        <x:v>0</x:v>
      </x:c>
      <x:c r="G16" s="109"/>
      <x:c r="H16" s="110" t="n">
        <x:f>G16-F16</x:f>
        <x:v>0</x:v>
      </x:c>
      <x:c r="I16" s="108"/>
      <x:c r="J16" s="111" t="str">
        <x:f>IF(B16="","",IF(ABS(H16)&lt;='General'!$B$11,"Cleared","Investigate"))</x:f>
      </x:c>
      <x:c r="K16" s="108"/>
    </x:row>
    <x:row r="17" ht="22" customHeight="1">
      <x:c r="A17" s="108"/>
      <x:c r="B17" s="108"/>
      <x:c r="C17" s="109"/>
      <x:c r="D17" s="109"/>
      <x:c r="E17" s="109"/>
      <x:c r="F17" s="110" t="n">
        <x:f>C17+D17-E17</x:f>
        <x:v>0</x:v>
      </x:c>
      <x:c r="G17" s="109"/>
      <x:c r="H17" s="110" t="n">
        <x:f>G17-F17</x:f>
        <x:v>0</x:v>
      </x:c>
      <x:c r="I17" s="108"/>
      <x:c r="J17" s="111" t="str">
        <x:f>IF(B17="","",IF(ABS(H17)&lt;='General'!$B$11,"Cleared","Investigate"))</x:f>
      </x:c>
      <x:c r="K17" s="108"/>
    </x:row>
    <x:row r="18" ht="22" customHeight="1">
      <x:c r="A18" s="108"/>
      <x:c r="B18" s="108"/>
      <x:c r="C18" s="109"/>
      <x:c r="D18" s="109"/>
      <x:c r="E18" s="109"/>
      <x:c r="F18" s="110" t="n">
        <x:f>C18+D18-E18</x:f>
        <x:v>0</x:v>
      </x:c>
      <x:c r="G18" s="109"/>
      <x:c r="H18" s="110" t="n">
        <x:f>G18-F18</x:f>
        <x:v>0</x:v>
      </x:c>
      <x:c r="I18" s="108"/>
      <x:c r="J18" s="111" t="str">
        <x:f>IF(B18="","",IF(ABS(H18)&lt;='General'!$B$11,"Cleared","Investigate"))</x:f>
      </x:c>
      <x:c r="K18" s="108"/>
    </x:row>
    <x:row r="19" ht="22" customHeight="1">
      <x:c r="A19" s="108"/>
      <x:c r="B19" s="108"/>
      <x:c r="C19" s="109"/>
      <x:c r="D19" s="109"/>
      <x:c r="E19" s="109"/>
      <x:c r="F19" s="110" t="n">
        <x:f>C19+D19-E19</x:f>
        <x:v>0</x:v>
      </x:c>
      <x:c r="G19" s="109"/>
      <x:c r="H19" s="110" t="n">
        <x:f>G19-F19</x:f>
        <x:v>0</x:v>
      </x:c>
      <x:c r="I19" s="108"/>
      <x:c r="J19" s="111" t="str">
        <x:f>IF(B19="","",IF(ABS(H19)&lt;='General'!$B$11,"Cleared","Investigate"))</x:f>
      </x:c>
      <x:c r="K19" s="108"/>
    </x:row>
    <x:row r="20" ht="22" customHeight="1">
      <x:c r="A20" s="108"/>
      <x:c r="B20" s="108"/>
      <x:c r="C20" s="109"/>
      <x:c r="D20" s="109"/>
      <x:c r="E20" s="109"/>
      <x:c r="F20" s="110" t="n">
        <x:f>C20+D20-E20</x:f>
        <x:v>0</x:v>
      </x:c>
      <x:c r="G20" s="109"/>
      <x:c r="H20" s="110" t="n">
        <x:f>G20-F20</x:f>
        <x:v>0</x:v>
      </x:c>
      <x:c r="I20" s="108"/>
      <x:c r="J20" s="111" t="str">
        <x:f>IF(B20="","",IF(ABS(H20)&lt;='General'!$B$11,"Cleared","Investigate"))</x:f>
      </x:c>
      <x:c r="K20" s="108"/>
    </x:row>
    <x:row r="21" ht="22" customHeight="1">
      <x:c r="A21" s="108"/>
      <x:c r="B21" s="108"/>
      <x:c r="C21" s="109"/>
      <x:c r="D21" s="109"/>
      <x:c r="E21" s="109"/>
      <x:c r="F21" s="110" t="n">
        <x:f>C21+D21-E21</x:f>
        <x:v>0</x:v>
      </x:c>
      <x:c r="G21" s="109"/>
      <x:c r="H21" s="110" t="n">
        <x:f>G21-F21</x:f>
        <x:v>0</x:v>
      </x:c>
      <x:c r="I21" s="108"/>
      <x:c r="J21" s="111" t="str">
        <x:f>IF(B21="","",IF(ABS(H21)&lt;='General'!$B$11,"Cleared","Investigate"))</x:f>
      </x:c>
      <x:c r="K21" s="108"/>
    </x:row>
    <x:row r="22" ht="22" customHeight="1">
      <x:c r="A22" s="108"/>
      <x:c r="B22" s="108"/>
      <x:c r="C22" s="109"/>
      <x:c r="D22" s="109"/>
      <x:c r="E22" s="109"/>
      <x:c r="F22" s="110" t="n">
        <x:f>C22+D22-E22</x:f>
        <x:v>0</x:v>
      </x:c>
      <x:c r="G22" s="109"/>
      <x:c r="H22" s="110" t="n">
        <x:f>G22-F22</x:f>
        <x:v>0</x:v>
      </x:c>
      <x:c r="I22" s="108"/>
      <x:c r="J22" s="111" t="str">
        <x:f>IF(B22="","",IF(ABS(H22)&lt;='General'!$B$11,"Cleared","Investigate"))</x:f>
      </x:c>
      <x:c r="K22" s="108"/>
    </x:row>
    <x:row r="23" ht="22" customHeight="1">
      <x:c r="A23" s="108"/>
      <x:c r="B23" s="108"/>
      <x:c r="C23" s="109"/>
      <x:c r="D23" s="109"/>
      <x:c r="E23" s="109"/>
      <x:c r="F23" s="110" t="n">
        <x:f>C23+D23-E23</x:f>
        <x:v>0</x:v>
      </x:c>
      <x:c r="G23" s="109"/>
      <x:c r="H23" s="110" t="n">
        <x:f>G23-F23</x:f>
        <x:v>0</x:v>
      </x:c>
      <x:c r="I23" s="108"/>
      <x:c r="J23" s="111" t="str">
        <x:f>IF(B23="","",IF(ABS(H23)&lt;='General'!$B$11,"Cleared","Investigate"))</x:f>
      </x:c>
      <x:c r="K23" s="108"/>
    </x:row>
    <x:row r="24" ht="22" customHeight="1">
      <x:c r="A24" s="108"/>
      <x:c r="B24" s="108"/>
      <x:c r="C24" s="109"/>
      <x:c r="D24" s="109"/>
      <x:c r="E24" s="109"/>
      <x:c r="F24" s="110" t="n">
        <x:f>C24+D24-E24</x:f>
        <x:v>0</x:v>
      </x:c>
      <x:c r="G24" s="109"/>
      <x:c r="H24" s="110" t="n">
        <x:f>G24-F24</x:f>
        <x:v>0</x:v>
      </x:c>
      <x:c r="I24" s="108"/>
      <x:c r="J24" s="111" t="str">
        <x:f>IF(B24="","",IF(ABS(H24)&lt;='General'!$B$11,"Cleared","Investigate"))</x:f>
      </x:c>
      <x:c r="K24" s="108"/>
    </x:row>
    <x:row r="25" ht="22" customHeight="1">
      <x:c r="A25" s="108"/>
      <x:c r="B25" s="108"/>
      <x:c r="C25" s="109"/>
      <x:c r="D25" s="109"/>
      <x:c r="E25" s="109"/>
      <x:c r="F25" s="110" t="n">
        <x:f>C25+D25-E25</x:f>
        <x:v>0</x:v>
      </x:c>
      <x:c r="G25" s="109"/>
      <x:c r="H25" s="110" t="n">
        <x:f>G25-F25</x:f>
        <x:v>0</x:v>
      </x:c>
      <x:c r="I25" s="108"/>
      <x:c r="J25" s="111" t="str">
        <x:f>IF(B25="","",IF(ABS(H25)&lt;='General'!$B$11,"Cleared","Investigate"))</x:f>
      </x:c>
      <x:c r="K25" s="108"/>
    </x:row>
    <x:row r="26" ht="22" customHeight="1">
      <x:c r="A26" s="108"/>
      <x:c r="B26" s="108"/>
      <x:c r="C26" s="109"/>
      <x:c r="D26" s="109"/>
      <x:c r="E26" s="109"/>
      <x:c r="F26" s="110" t="n">
        <x:f>C26+D26-E26</x:f>
        <x:v>0</x:v>
      </x:c>
      <x:c r="G26" s="109"/>
      <x:c r="H26" s="110" t="n">
        <x:f>G26-F26</x:f>
        <x:v>0</x:v>
      </x:c>
      <x:c r="I26" s="108"/>
      <x:c r="J26" s="111" t="str">
        <x:f>IF(B26="","",IF(ABS(H26)&lt;='General'!$B$11,"Cleared","Investigate"))</x:f>
      </x:c>
      <x:c r="K26" s="108"/>
    </x:row>
    <x:row r="27" ht="22" customHeight="1">
      <x:c r="A27" s="108"/>
      <x:c r="B27" s="108"/>
      <x:c r="C27" s="109"/>
      <x:c r="D27" s="109"/>
      <x:c r="E27" s="109"/>
      <x:c r="F27" s="110" t="n">
        <x:f>C27+D27-E27</x:f>
        <x:v>0</x:v>
      </x:c>
      <x:c r="G27" s="109"/>
      <x:c r="H27" s="110" t="n">
        <x:f>G27-F27</x:f>
        <x:v>0</x:v>
      </x:c>
      <x:c r="I27" s="108"/>
      <x:c r="J27" s="111" t="str">
        <x:f>IF(B27="","",IF(ABS(H27)&lt;='General'!$B$11,"Cleared","Investigate"))</x:f>
      </x:c>
      <x:c r="K27" s="108"/>
    </x:row>
    <x:row r="28" ht="22" customHeight="1">
      <x:c r="A28" s="108"/>
      <x:c r="B28" s="108"/>
      <x:c r="C28" s="109"/>
      <x:c r="D28" s="109"/>
      <x:c r="E28" s="109"/>
      <x:c r="F28" s="110" t="n">
        <x:f>C28+D28-E28</x:f>
        <x:v>0</x:v>
      </x:c>
      <x:c r="G28" s="109"/>
      <x:c r="H28" s="110" t="n">
        <x:f>G28-F28</x:f>
        <x:v>0</x:v>
      </x:c>
      <x:c r="I28" s="108"/>
      <x:c r="J28" s="111" t="str">
        <x:f>IF(B28="","",IF(ABS(H28)&lt;='General'!$B$11,"Cleared","Investigate"))</x:f>
      </x:c>
      <x:c r="K28" s="108"/>
    </x:row>
    <x:row r="29">
      <x:c r="A29" s="1"/>
      <x:c r="B29" s="1"/>
      <x:c r="C29" s="1"/>
      <x:c r="D29" s="1"/>
      <x:c r="E29" s="1"/>
      <x:c r="F29" s="1"/>
      <x:c r="G29" s="1"/>
      <x:c r="H29" s="1"/>
      <x:c r="I29" s="1"/>
      <x:c r="J29" s="1"/>
      <x:c r="K29" s="1"/>
    </x:row>
    <x:row r="30">
      <x:c r="A30" s="95" t="str">
        <x:v>Conclusion: [Document the results, identified or projected misstatements, unresolved matters, and whether the audit objective has been achieved.]</x:v>
      </x:c>
      <x:c r="B30" s="96"/>
      <x:c r="C30" s="96"/>
      <x:c r="D30" s="96"/>
      <x:c r="E30" s="96"/>
      <x:c r="F30" s="96"/>
      <x:c r="G30" s="96"/>
      <x:c r="H30" s="96"/>
      <x:c r="I30" s="96"/>
      <x:c r="J30" s="96"/>
      <x:c r="K30" s="97"/>
    </x:row>
    <x:row r="31">
      <x:c r="A31" s="1"/>
      <x:c r="B31" s="1"/>
      <x:c r="C31" s="1"/>
      <x:c r="D31" s="1"/>
      <x:c r="E31" s="1"/>
      <x:c r="F31" s="1"/>
      <x:c r="G31" s="1"/>
      <x:c r="H31" s="1"/>
      <x:c r="I31" s="1"/>
      <x:c r="J31" s="1"/>
      <x:c r="K31" s="1"/>
    </x:row>
    <x:row r="32">
      <x:c r="A32" s="1"/>
      <x:c r="B32" s="1"/>
      <x:c r="C32" s="1"/>
      <x:c r="D32" s="1"/>
      <x:c r="E32" s="1"/>
      <x:c r="F32" s="1"/>
      <x:c r="G32" s="1"/>
      <x:c r="H32" s="1"/>
      <x:c r="I32" s="1"/>
      <x:c r="J32" s="1"/>
      <x:c r="K32" s="1"/>
    </x:row>
    <x:row r="33">
      <x:c r="A33" s="1"/>
      <x:c r="B33" s="1"/>
      <x:c r="C33" s="1"/>
      <x:c r="D33" s="1"/>
      <x:c r="E33" s="1"/>
      <x:c r="F33" s="1"/>
      <x:c r="G33" s="1"/>
      <x:c r="H33" s="1"/>
      <x:c r="I33" s="1"/>
      <x:c r="J33" s="1"/>
      <x:c r="K33" s="1"/>
    </x:row>
    <x:row r="34">
      <x:c r="A34" s="1"/>
      <x:c r="B34" s="1"/>
      <x:c r="C34" s="1"/>
      <x:c r="D34" s="1"/>
      <x:c r="E34" s="1"/>
      <x:c r="F34" s="1"/>
      <x:c r="G34" s="1"/>
      <x:c r="H34" s="1"/>
      <x:c r="I34" s="1"/>
      <x:c r="J34" s="1"/>
      <x:c r="K34" s="1"/>
    </x:row>
  </x:sheetData>
  <x:mergeCells>
    <x:mergeCell ref="A1:K1"/>
    <x:mergeCell ref="A5:K5"/>
    <x:mergeCell ref="A6:K6"/>
    <x:mergeCell ref="A30:K30"/>
  </x:mergeCells>
  <x:conditionalFormatting sqref="J9:J28">
    <x:cfRule type="containsText" dxfId="6" priority="1" operator="containsText" text="Exception"/>
    <x:cfRule type="containsText" dxfId="7" priority="2" operator="containsText" text="Cleared"/>
  </x:conditionalFormatting>
  <x:dataValidations count="2">
    <x:dataValidation type="list" sqref="J3">
      <x:formula1>"Not started,In progress,Prepared,Reviewed"</x:formula1>
    </x:dataValidation>
    <x:dataValidation type="list" sqref="K9:K28">
      <x:formula1>Tickmarks!$A$4:$A$21</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4" hidden="0" customWidth="1"/>
    <x:col min="4" max="4" width="12" hidden="0" customWidth="1"/>
    <x:col min="5" max="5" width="13" hidden="0" customWidth="1"/>
    <x:col min="6" max="6" width="15" hidden="0" customWidth="1"/>
    <x:col min="7" max="7" width="14" hidden="0" customWidth="1"/>
    <x:col min="8" max="8" width="14" hidden="0" customWidth="1"/>
    <x:col min="9" max="9" width="13" hidden="0" customWidth="1"/>
    <x:col min="10" max="10" width="23" hidden="0" customWidth="1"/>
    <x:col min="11" max="11" width="13" hidden="0" customWidth="1"/>
    <x:col min="12" max="12" width="11" hidden="0" customWidth="1"/>
  </x:cols>
  <x:sheetData>
    <x:row r="1" ht="24" customHeight="1">
      <x:c r="A1" s="4" t="str">
        <x:v>E - Trade Receivables | E-4 Accounts receivable cut-off</x:v>
      </x:c>
      <x:c r="B1" s="4"/>
      <x:c r="C1" s="4"/>
      <x:c r="D1" s="4"/>
      <x:c r="E1" s="4"/>
      <x:c r="F1" s="4"/>
      <x:c r="G1" s="4"/>
      <x:c r="H1" s="4"/>
      <x:c r="I1" s="4"/>
      <x:c r="J1" s="4"/>
      <x:c r="K1" s="4"/>
      <x:c r="L1" s="4"/>
    </x:row>
    <x:row r="2">
      <x:c r="A2" s="62" t="str">
        <x:v>Entity</x:v>
      </x:c>
      <x:c r="B2" s="70" t="str">
        <x:f>'General'!B3</x:f>
        <x:v>[Enter entity name]</x:v>
      </x:c>
      <x:c r="C2" s="67" t="str">
        <x:v>Period end</x:v>
      </x:c>
      <x:c r="D2" s="73" t="str">
        <x:f>IF('General'!B4="","",'General'!B4)</x:f>
      </x:c>
      <x:c r="E2" s="67" t="str">
        <x:v>Currency</x:v>
      </x:c>
      <x:c r="F2" s="70" t="str">
        <x:f>'General'!B5</x:f>
        <x:v>GBP</x:v>
      </x:c>
      <x:c r="G2" s="67" t="str">
        <x:v>Prepared by</x:v>
      </x:c>
      <x:c r="H2" s="70" t="str">
        <x:f>'General'!B6</x:f>
        <x:v>[Name / date]</x:v>
      </x:c>
      <x:c r="I2" s="64" t="str">
        <x:v>Reviewed by</x:v>
      </x:c>
      <x:c r="J2" s="57" t="str">
        <x:f>'General'!B7</x:f>
        <x:v>[Name / date]</x:v>
      </x:c>
      <x:c r="K2" s="57"/>
      <x:c r="L2" s="58"/>
    </x:row>
    <x:row r="3">
      <x:c r="A3" s="63" t="str">
        <x:v>WP reference</x:v>
      </x:c>
      <x:c r="B3" s="71" t="str">
        <x:v>E-4</x:v>
      </x:c>
      <x:c r="C3" s="69" t="str">
        <x:v>Planning mat.</x:v>
      </x:c>
      <x:c r="D3" s="74" t="str">
        <x:f>IF('General'!B9="","",'General'!B9)</x:f>
      </x:c>
      <x:c r="E3" s="75" t="str">
        <x:v>Tolerable error</x:v>
      </x:c>
      <x:c r="F3" s="74" t="str">
        <x:f>IF('General'!B10="","",'General'!B10)</x:f>
      </x:c>
      <x:c r="G3" s="75" t="str">
        <x:v>SAD nominal</x:v>
      </x:c>
      <x:c r="H3" s="74" t="str">
        <x:f>IF('General'!B11="","",'General'!B11)</x:f>
      </x:c>
      <x:c r="I3" s="65" t="str">
        <x:v>Status</x:v>
      </x:c>
      <x:c r="J3" s="98" t="str">
        <x:v>Not started</x:v>
      </x:c>
      <x:c r="K3" s="60"/>
      <x:c r="L3" s="61"/>
    </x:row>
    <x:row r="4">
      <x:c r="A4" s="1"/>
      <x:c r="B4" s="1"/>
      <x:c r="C4" s="1"/>
      <x:c r="D4" s="1"/>
      <x:c r="E4" s="1"/>
      <x:c r="F4" s="1"/>
      <x:c r="G4" s="1"/>
      <x:c r="H4" s="1"/>
      <x:c r="I4" s="1"/>
      <x:c r="J4" s="1"/>
      <x:c r="K4" s="1"/>
      <x:c r="L4" s="1"/>
    </x:row>
    <x:row r="5" ht="44" customHeight="1">
      <x:c r="A5" s="78" t="str">
        <x:v>Objective: Determine whether sales, returns, credit notes and related receivables immediately before and after the reporting date are recognised in the correct period in accordance with the applicable revenue-recognition and transfer-of-control criteria.</x:v>
      </x:c>
      <x:c r="B5" s="78"/>
      <x:c r="C5" s="78"/>
      <x:c r="D5" s="78"/>
      <x:c r="E5" s="78"/>
      <x:c r="F5" s="78"/>
      <x:c r="G5" s="78"/>
      <x:c r="H5" s="78"/>
      <x:c r="I5" s="78"/>
      <x:c r="J5" s="78"/>
      <x:c r="K5" s="78"/>
      <x:c r="L5" s="78"/>
    </x:row>
    <x:row r="6" ht="70" customHeight="1">
      <x:c r="A6" s="78" t="str">
        <x:v>Execution guidance: Perform analytics to identify sales peaks or unusual activity near year-end; compare pre- and post-closing activity with prior periods, budget, interim results and business expectations; investigate significant deviations; select transactions on both sides of cut-off; inspect sales registers, invoices, customer orders, contracts, shipping or signed delivery documents and applicable transfer terms; agree the recorded and correct accounting periods; consider post-year-end credit notes and returns; and reconcile conclusions with sales, inventory and cash cut-off work.</x:v>
      </x:c>
      <x:c r="B6" s="78"/>
      <x:c r="C6" s="78"/>
      <x:c r="D6" s="78"/>
      <x:c r="E6" s="78"/>
      <x:c r="F6" s="78"/>
      <x:c r="G6" s="78"/>
      <x:c r="H6" s="78"/>
      <x:c r="I6" s="78"/>
      <x:c r="J6" s="78"/>
      <x:c r="K6" s="78"/>
      <x:c r="L6" s="78"/>
    </x:row>
    <x:row r="7">
      <x:c r="A7" s="1"/>
      <x:c r="B7" s="1"/>
      <x:c r="C7" s="1"/>
      <x:c r="D7" s="1"/>
      <x:c r="E7" s="1"/>
      <x:c r="F7" s="1"/>
      <x:c r="G7" s="1"/>
      <x:c r="H7" s="1"/>
      <x:c r="I7" s="1"/>
      <x:c r="J7" s="1"/>
      <x:c r="K7" s="1"/>
      <x:c r="L7" s="1"/>
    </x:row>
    <x:row r="8" ht="40" customHeight="1">
      <x:c r="A8" s="82" t="str">
        <x:v>Test ID</x:v>
      </x:c>
      <x:c r="B8" s="82" t="str">
        <x:v>Document no.</x:v>
      </x:c>
      <x:c r="C8" s="82" t="str">
        <x:v>Transaction type</x:v>
      </x:c>
      <x:c r="D8" s="82" t="str">
        <x:v>Invoice date</x:v>
      </x:c>
      <x:c r="E8" s="82" t="str">
        <x:v>Amount</x:v>
      </x:c>
      <x:c r="F8" s="82" t="str">
        <x:v>Dispatch / service date</x:v>
      </x:c>
      <x:c r="G8" s="82" t="str">
        <x:v>Recorded period</x:v>
      </x:c>
      <x:c r="H8" s="82" t="str">
        <x:v>Correct period</x:v>
      </x:c>
      <x:c r="I8" s="82" t="str">
        <x:v>Difference</x:v>
      </x:c>
      <x:c r="J8" s="82" t="str">
        <x:v>Evidence / conclusion</x:v>
      </x:c>
      <x:c r="K8" s="82" t="str">
        <x:v>Result</x:v>
      </x:c>
      <x:c r="L8" s="82" t="str">
        <x:v>Tickmarks</x:v>
      </x:c>
    </x:row>
    <x:row r="9" ht="22" customHeight="1">
      <x:c r="A9" s="108"/>
      <x:c r="B9" s="108"/>
      <x:c r="C9" s="108"/>
      <x:c r="D9" s="112"/>
      <x:c r="E9" s="109"/>
      <x:c r="F9" s="112"/>
      <x:c r="G9" s="108"/>
      <x:c r="H9" s="108"/>
      <x:c r="I9" s="110" t="n">
        <x:f>IF(OR(G9="",H9=""),0,IF(G9=H9,0,E9))</x:f>
        <x:v>0</x:v>
      </x:c>
      <x:c r="J9" s="108"/>
      <x:c r="K9" s="111" t="str">
        <x:f>IF(B9="","",IF(I9=0,"Correct period","Exception"))</x:f>
      </x:c>
      <x:c r="L9" s="108"/>
    </x:row>
    <x:row r="10" ht="22" customHeight="1">
      <x:c r="A10" s="108"/>
      <x:c r="B10" s="108"/>
      <x:c r="C10" s="108"/>
      <x:c r="D10" s="112"/>
      <x:c r="E10" s="109"/>
      <x:c r="F10" s="112"/>
      <x:c r="G10" s="108"/>
      <x:c r="H10" s="108"/>
      <x:c r="I10" s="110" t="n">
        <x:f>IF(OR(G10="",H10=""),0,IF(G10=H10,0,E10))</x:f>
        <x:v>0</x:v>
      </x:c>
      <x:c r="J10" s="108"/>
      <x:c r="K10" s="111" t="str">
        <x:f>IF(B10="","",IF(I10=0,"Correct period","Exception"))</x:f>
      </x:c>
      <x:c r="L10" s="108"/>
    </x:row>
    <x:row r="11" ht="22" customHeight="1">
      <x:c r="A11" s="108"/>
      <x:c r="B11" s="108"/>
      <x:c r="C11" s="108"/>
      <x:c r="D11" s="112"/>
      <x:c r="E11" s="109"/>
      <x:c r="F11" s="112"/>
      <x:c r="G11" s="108"/>
      <x:c r="H11" s="108"/>
      <x:c r="I11" s="110" t="n">
        <x:f>IF(OR(G11="",H11=""),0,IF(G11=H11,0,E11))</x:f>
        <x:v>0</x:v>
      </x:c>
      <x:c r="J11" s="108"/>
      <x:c r="K11" s="111" t="str">
        <x:f>IF(B11="","",IF(I11=0,"Correct period","Exception"))</x:f>
      </x:c>
      <x:c r="L11" s="108"/>
    </x:row>
    <x:row r="12" ht="22" customHeight="1">
      <x:c r="A12" s="108"/>
      <x:c r="B12" s="108"/>
      <x:c r="C12" s="108"/>
      <x:c r="D12" s="112"/>
      <x:c r="E12" s="109"/>
      <x:c r="F12" s="112"/>
      <x:c r="G12" s="108"/>
      <x:c r="H12" s="108"/>
      <x:c r="I12" s="110" t="n">
        <x:f>IF(OR(G12="",H12=""),0,IF(G12=H12,0,E12))</x:f>
        <x:v>0</x:v>
      </x:c>
      <x:c r="J12" s="108"/>
      <x:c r="K12" s="111" t="str">
        <x:f>IF(B12="","",IF(I12=0,"Correct period","Exception"))</x:f>
      </x:c>
      <x:c r="L12" s="108"/>
    </x:row>
    <x:row r="13" ht="22" customHeight="1">
      <x:c r="A13" s="108"/>
      <x:c r="B13" s="108"/>
      <x:c r="C13" s="108"/>
      <x:c r="D13" s="112"/>
      <x:c r="E13" s="109"/>
      <x:c r="F13" s="112"/>
      <x:c r="G13" s="108"/>
      <x:c r="H13" s="108"/>
      <x:c r="I13" s="110" t="n">
        <x:f>IF(OR(G13="",H13=""),0,IF(G13=H13,0,E13))</x:f>
        <x:v>0</x:v>
      </x:c>
      <x:c r="J13" s="108"/>
      <x:c r="K13" s="111" t="str">
        <x:f>IF(B13="","",IF(I13=0,"Correct period","Exception"))</x:f>
      </x:c>
      <x:c r="L13" s="108"/>
    </x:row>
    <x:row r="14" ht="22" customHeight="1">
      <x:c r="A14" s="108"/>
      <x:c r="B14" s="108"/>
      <x:c r="C14" s="108"/>
      <x:c r="D14" s="112"/>
      <x:c r="E14" s="109"/>
      <x:c r="F14" s="112"/>
      <x:c r="G14" s="108"/>
      <x:c r="H14" s="108"/>
      <x:c r="I14" s="110" t="n">
        <x:f>IF(OR(G14="",H14=""),0,IF(G14=H14,0,E14))</x:f>
        <x:v>0</x:v>
      </x:c>
      <x:c r="J14" s="108"/>
      <x:c r="K14" s="111" t="str">
        <x:f>IF(B14="","",IF(I14=0,"Correct period","Exception"))</x:f>
      </x:c>
      <x:c r="L14" s="108"/>
    </x:row>
    <x:row r="15" ht="22" customHeight="1">
      <x:c r="A15" s="108"/>
      <x:c r="B15" s="108"/>
      <x:c r="C15" s="108"/>
      <x:c r="D15" s="112"/>
      <x:c r="E15" s="109"/>
      <x:c r="F15" s="112"/>
      <x:c r="G15" s="108"/>
      <x:c r="H15" s="108"/>
      <x:c r="I15" s="110" t="n">
        <x:f>IF(OR(G15="",H15=""),0,IF(G15=H15,0,E15))</x:f>
        <x:v>0</x:v>
      </x:c>
      <x:c r="J15" s="108"/>
      <x:c r="K15" s="111" t="str">
        <x:f>IF(B15="","",IF(I15=0,"Correct period","Exception"))</x:f>
      </x:c>
      <x:c r="L15" s="108"/>
    </x:row>
    <x:row r="16" ht="22" customHeight="1">
      <x:c r="A16" s="108"/>
      <x:c r="B16" s="108"/>
      <x:c r="C16" s="108"/>
      <x:c r="D16" s="112"/>
      <x:c r="E16" s="109"/>
      <x:c r="F16" s="112"/>
      <x:c r="G16" s="108"/>
      <x:c r="H16" s="108"/>
      <x:c r="I16" s="110" t="n">
        <x:f>IF(OR(G16="",H16=""),0,IF(G16=H16,0,E16))</x:f>
        <x:v>0</x:v>
      </x:c>
      <x:c r="J16" s="108"/>
      <x:c r="K16" s="111" t="str">
        <x:f>IF(B16="","",IF(I16=0,"Correct period","Exception"))</x:f>
      </x:c>
      <x:c r="L16" s="108"/>
    </x:row>
    <x:row r="17" ht="22" customHeight="1">
      <x:c r="A17" s="108"/>
      <x:c r="B17" s="108"/>
      <x:c r="C17" s="108"/>
      <x:c r="D17" s="112"/>
      <x:c r="E17" s="109"/>
      <x:c r="F17" s="112"/>
      <x:c r="G17" s="108"/>
      <x:c r="H17" s="108"/>
      <x:c r="I17" s="110" t="n">
        <x:f>IF(OR(G17="",H17=""),0,IF(G17=H17,0,E17))</x:f>
        <x:v>0</x:v>
      </x:c>
      <x:c r="J17" s="108"/>
      <x:c r="K17" s="111" t="str">
        <x:f>IF(B17="","",IF(I17=0,"Correct period","Exception"))</x:f>
      </x:c>
      <x:c r="L17" s="108"/>
    </x:row>
    <x:row r="18" ht="22" customHeight="1">
      <x:c r="A18" s="108"/>
      <x:c r="B18" s="108"/>
      <x:c r="C18" s="108"/>
      <x:c r="D18" s="112"/>
      <x:c r="E18" s="109"/>
      <x:c r="F18" s="112"/>
      <x:c r="G18" s="108"/>
      <x:c r="H18" s="108"/>
      <x:c r="I18" s="110" t="n">
        <x:f>IF(OR(G18="",H18=""),0,IF(G18=H18,0,E18))</x:f>
        <x:v>0</x:v>
      </x:c>
      <x:c r="J18" s="108"/>
      <x:c r="K18" s="111" t="str">
        <x:f>IF(B18="","",IF(I18=0,"Correct period","Exception"))</x:f>
      </x:c>
      <x:c r="L18" s="108"/>
    </x:row>
    <x:row r="19" ht="22" customHeight="1">
      <x:c r="A19" s="108"/>
      <x:c r="B19" s="108"/>
      <x:c r="C19" s="108"/>
      <x:c r="D19" s="112"/>
      <x:c r="E19" s="109"/>
      <x:c r="F19" s="112"/>
      <x:c r="G19" s="108"/>
      <x:c r="H19" s="108"/>
      <x:c r="I19" s="110" t="n">
        <x:f>IF(OR(G19="",H19=""),0,IF(G19=H19,0,E19))</x:f>
        <x:v>0</x:v>
      </x:c>
      <x:c r="J19" s="108"/>
      <x:c r="K19" s="111" t="str">
        <x:f>IF(B19="","",IF(I19=0,"Correct period","Exception"))</x:f>
      </x:c>
      <x:c r="L19" s="108"/>
    </x:row>
    <x:row r="20" ht="22" customHeight="1">
      <x:c r="A20" s="108"/>
      <x:c r="B20" s="108"/>
      <x:c r="C20" s="108"/>
      <x:c r="D20" s="112"/>
      <x:c r="E20" s="109"/>
      <x:c r="F20" s="112"/>
      <x:c r="G20" s="108"/>
      <x:c r="H20" s="108"/>
      <x:c r="I20" s="110" t="n">
        <x:f>IF(OR(G20="",H20=""),0,IF(G20=H20,0,E20))</x:f>
        <x:v>0</x:v>
      </x:c>
      <x:c r="J20" s="108"/>
      <x:c r="K20" s="111" t="str">
        <x:f>IF(B20="","",IF(I20=0,"Correct period","Exception"))</x:f>
      </x:c>
      <x:c r="L20" s="108"/>
    </x:row>
    <x:row r="21" ht="22" customHeight="1">
      <x:c r="A21" s="108"/>
      <x:c r="B21" s="108"/>
      <x:c r="C21" s="108"/>
      <x:c r="D21" s="112"/>
      <x:c r="E21" s="109"/>
      <x:c r="F21" s="112"/>
      <x:c r="G21" s="108"/>
      <x:c r="H21" s="108"/>
      <x:c r="I21" s="110" t="n">
        <x:f>IF(OR(G21="",H21=""),0,IF(G21=H21,0,E21))</x:f>
        <x:v>0</x:v>
      </x:c>
      <x:c r="J21" s="108"/>
      <x:c r="K21" s="111" t="str">
        <x:f>IF(B21="","",IF(I21=0,"Correct period","Exception"))</x:f>
      </x:c>
      <x:c r="L21" s="108"/>
    </x:row>
    <x:row r="22" ht="22" customHeight="1">
      <x:c r="A22" s="108"/>
      <x:c r="B22" s="108"/>
      <x:c r="C22" s="108"/>
      <x:c r="D22" s="112"/>
      <x:c r="E22" s="109"/>
      <x:c r="F22" s="112"/>
      <x:c r="G22" s="108"/>
      <x:c r="H22" s="108"/>
      <x:c r="I22" s="110" t="n">
        <x:f>IF(OR(G22="",H22=""),0,IF(G22=H22,0,E22))</x:f>
        <x:v>0</x:v>
      </x:c>
      <x:c r="J22" s="108"/>
      <x:c r="K22" s="111" t="str">
        <x:f>IF(B22="","",IF(I22=0,"Correct period","Exception"))</x:f>
      </x:c>
      <x:c r="L22" s="108"/>
    </x:row>
    <x:row r="23" ht="22" customHeight="1">
      <x:c r="A23" s="108"/>
      <x:c r="B23" s="108"/>
      <x:c r="C23" s="108"/>
      <x:c r="D23" s="112"/>
      <x:c r="E23" s="109"/>
      <x:c r="F23" s="112"/>
      <x:c r="G23" s="108"/>
      <x:c r="H23" s="108"/>
      <x:c r="I23" s="110" t="n">
        <x:f>IF(OR(G23="",H23=""),0,IF(G23=H23,0,E23))</x:f>
        <x:v>0</x:v>
      </x:c>
      <x:c r="J23" s="108"/>
      <x:c r="K23" s="111" t="str">
        <x:f>IF(B23="","",IF(I23=0,"Correct period","Exception"))</x:f>
      </x:c>
      <x:c r="L23" s="108"/>
    </x:row>
    <x:row r="24" ht="22" customHeight="1">
      <x:c r="A24" s="108"/>
      <x:c r="B24" s="108"/>
      <x:c r="C24" s="108"/>
      <x:c r="D24" s="112"/>
      <x:c r="E24" s="109"/>
      <x:c r="F24" s="112"/>
      <x:c r="G24" s="108"/>
      <x:c r="H24" s="108"/>
      <x:c r="I24" s="110" t="n">
        <x:f>IF(OR(G24="",H24=""),0,IF(G24=H24,0,E24))</x:f>
        <x:v>0</x:v>
      </x:c>
      <x:c r="J24" s="108"/>
      <x:c r="K24" s="111" t="str">
        <x:f>IF(B24="","",IF(I24=0,"Correct period","Exception"))</x:f>
      </x:c>
      <x:c r="L24" s="108"/>
    </x:row>
    <x:row r="25" ht="22" customHeight="1">
      <x:c r="A25" s="108"/>
      <x:c r="B25" s="108"/>
      <x:c r="C25" s="108"/>
      <x:c r="D25" s="112"/>
      <x:c r="E25" s="109"/>
      <x:c r="F25" s="112"/>
      <x:c r="G25" s="108"/>
      <x:c r="H25" s="108"/>
      <x:c r="I25" s="110" t="n">
        <x:f>IF(OR(G25="",H25=""),0,IF(G25=H25,0,E25))</x:f>
        <x:v>0</x:v>
      </x:c>
      <x:c r="J25" s="108"/>
      <x:c r="K25" s="111" t="str">
        <x:f>IF(B25="","",IF(I25=0,"Correct period","Exception"))</x:f>
      </x:c>
      <x:c r="L25" s="108"/>
    </x:row>
    <x:row r="26" ht="22" customHeight="1">
      <x:c r="A26" s="108"/>
      <x:c r="B26" s="108"/>
      <x:c r="C26" s="108"/>
      <x:c r="D26" s="112"/>
      <x:c r="E26" s="109"/>
      <x:c r="F26" s="112"/>
      <x:c r="G26" s="108"/>
      <x:c r="H26" s="108"/>
      <x:c r="I26" s="110" t="n">
        <x:f>IF(OR(G26="",H26=""),0,IF(G26=H26,0,E26))</x:f>
        <x:v>0</x:v>
      </x:c>
      <x:c r="J26" s="108"/>
      <x:c r="K26" s="111" t="str">
        <x:f>IF(B26="","",IF(I26=0,"Correct period","Exception"))</x:f>
      </x:c>
      <x:c r="L26" s="108"/>
    </x:row>
    <x:row r="27" ht="22" customHeight="1">
      <x:c r="A27" s="108"/>
      <x:c r="B27" s="108"/>
      <x:c r="C27" s="108"/>
      <x:c r="D27" s="112"/>
      <x:c r="E27" s="109"/>
      <x:c r="F27" s="112"/>
      <x:c r="G27" s="108"/>
      <x:c r="H27" s="108"/>
      <x:c r="I27" s="110" t="n">
        <x:f>IF(OR(G27="",H27=""),0,IF(G27=H27,0,E27))</x:f>
        <x:v>0</x:v>
      </x:c>
      <x:c r="J27" s="108"/>
      <x:c r="K27" s="111" t="str">
        <x:f>IF(B27="","",IF(I27=0,"Correct period","Exception"))</x:f>
      </x:c>
      <x:c r="L27" s="108"/>
    </x:row>
    <x:row r="28" ht="22" customHeight="1">
      <x:c r="A28" s="108"/>
      <x:c r="B28" s="108"/>
      <x:c r="C28" s="108"/>
      <x:c r="D28" s="112"/>
      <x:c r="E28" s="109"/>
      <x:c r="F28" s="112"/>
      <x:c r="G28" s="108"/>
      <x:c r="H28" s="108"/>
      <x:c r="I28" s="110" t="n">
        <x:f>IF(OR(G28="",H28=""),0,IF(G28=H28,0,E28))</x:f>
        <x:v>0</x:v>
      </x:c>
      <x:c r="J28" s="108"/>
      <x:c r="K28" s="111" t="str">
        <x:f>IF(B28="","",IF(I28=0,"Correct period","Exception"))</x:f>
      </x:c>
      <x:c r="L28" s="108"/>
    </x:row>
    <x:row r="29">
      <x:c r="A29" s="1"/>
      <x:c r="B29" s="1"/>
      <x:c r="C29" s="1"/>
      <x:c r="D29" s="1"/>
      <x:c r="E29" s="1"/>
      <x:c r="F29" s="1"/>
      <x:c r="G29" s="1"/>
      <x:c r="H29" s="1"/>
      <x:c r="I29" s="1"/>
      <x:c r="J29" s="1"/>
      <x:c r="K29" s="1"/>
      <x:c r="L29" s="1"/>
    </x:row>
    <x:row r="30">
      <x:c r="A30" s="95" t="str">
        <x:v>Conclusion: [Document the results, identified or projected misstatements, unresolved matters, and whether the audit objective has been achieved.]</x:v>
      </x:c>
      <x:c r="B30" s="96"/>
      <x:c r="C30" s="96"/>
      <x:c r="D30" s="96"/>
      <x:c r="E30" s="96"/>
      <x:c r="F30" s="96"/>
      <x:c r="G30" s="96"/>
      <x:c r="H30" s="96"/>
      <x:c r="I30" s="96"/>
      <x:c r="J30" s="96"/>
      <x:c r="K30" s="96"/>
      <x:c r="L30" s="97"/>
    </x:row>
    <x:row r="31">
      <x:c r="A31" s="1"/>
      <x:c r="B31" s="1"/>
      <x:c r="C31" s="1"/>
      <x:c r="D31" s="1"/>
      <x:c r="E31" s="1"/>
      <x:c r="F31" s="1"/>
      <x:c r="G31" s="1"/>
      <x:c r="H31" s="1"/>
      <x:c r="I31" s="1"/>
      <x:c r="J31" s="1"/>
      <x:c r="K31" s="1"/>
      <x:c r="L31" s="1"/>
    </x:row>
    <x:row r="32">
      <x:c r="A32" s="1"/>
      <x:c r="B32" s="1"/>
      <x:c r="C32" s="1"/>
      <x:c r="D32" s="1"/>
      <x:c r="E32" s="1"/>
      <x:c r="F32" s="1"/>
      <x:c r="G32" s="1"/>
      <x:c r="H32" s="1"/>
      <x:c r="I32" s="1"/>
      <x:c r="J32" s="1"/>
      <x:c r="K32" s="1"/>
      <x:c r="L32" s="1"/>
    </x:row>
    <x:row r="33">
      <x:c r="A33" s="1"/>
      <x:c r="B33" s="1"/>
      <x:c r="C33" s="1"/>
      <x:c r="D33" s="1"/>
      <x:c r="E33" s="1"/>
      <x:c r="F33" s="1"/>
      <x:c r="G33" s="1"/>
      <x:c r="H33" s="1"/>
      <x:c r="I33" s="1"/>
      <x:c r="J33" s="1"/>
      <x:c r="K33" s="1"/>
      <x:c r="L33" s="1"/>
    </x:row>
    <x:row r="34">
      <x:c r="A34" s="1"/>
      <x:c r="B34" s="1"/>
      <x:c r="C34" s="1"/>
      <x:c r="D34" s="1"/>
      <x:c r="E34" s="1"/>
      <x:c r="F34" s="1"/>
      <x:c r="G34" s="1"/>
      <x:c r="H34" s="1"/>
      <x:c r="I34" s="1"/>
      <x:c r="J34" s="1"/>
      <x:c r="K34" s="1"/>
      <x:c r="L34" s="1"/>
    </x:row>
  </x:sheetData>
  <x:mergeCells>
    <x:mergeCell ref="A1:L1"/>
    <x:mergeCell ref="A5:L5"/>
    <x:mergeCell ref="A6:L6"/>
    <x:mergeCell ref="A30:L30"/>
  </x:mergeCells>
  <x:conditionalFormatting sqref="K9:K28">
    <x:cfRule type="containsText" dxfId="8" priority="1" operator="containsText" text="Exception"/>
    <x:cfRule type="containsText" dxfId="9" priority="2" operator="containsText" text="Cleared"/>
  </x:conditionalFormatting>
  <x:dataValidations count="3">
    <x:dataValidation type="list" sqref="J3">
      <x:formula1>"Not started,In progress,Prepared,Reviewed"</x:formula1>
    </x:dataValidation>
    <x:dataValidation type="list" sqref="G9:H28">
      <x:formula1>"Current year,Next year,Prior year"</x:formula1>
    </x:dataValidation>
    <x:dataValidation type="list" sqref="L9:L28">
      <x:formula1>Tickmarks!$A$4:$A$21</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13" hidden="0" customWidth="1"/>
    <x:col min="3" max="3" width="14" hidden="0" customWidth="1"/>
    <x:col min="4" max="4" width="12" hidden="0" customWidth="1"/>
    <x:col min="5" max="5" width="14" hidden="0" customWidth="1"/>
    <x:col min="6" max="6" width="14" hidden="0" customWidth="1"/>
    <x:col min="7" max="7" width="14" hidden="0" customWidth="1"/>
    <x:col min="8" max="8" width="13" hidden="0" customWidth="1"/>
    <x:col min="9" max="9" width="24" hidden="0" customWidth="1"/>
    <x:col min="10" max="10" width="13" hidden="0" customWidth="1"/>
    <x:col min="11" max="11" width="11" hidden="0" customWidth="1"/>
  </x:cols>
  <x:sheetData>
    <x:row r="1" ht="24" customHeight="1">
      <x:c r="A1" s="4" t="str">
        <x:v>E - Trade Receivables | E-5 Allowance for doubtful accounts</x:v>
      </x:c>
      <x:c r="B1" s="4"/>
      <x:c r="C1" s="4"/>
      <x:c r="D1" s="4"/>
      <x:c r="E1" s="4"/>
      <x:c r="F1" s="4"/>
      <x:c r="G1" s="4"/>
      <x:c r="H1" s="4"/>
      <x:c r="I1" s="4"/>
      <x:c r="J1" s="4"/>
      <x:c r="K1" s="4"/>
    </x:row>
    <x:row r="2">
      <x:c r="A2" s="62" t="str">
        <x:v>Entity</x:v>
      </x:c>
      <x:c r="B2" s="70" t="str">
        <x:f>'General'!B3</x:f>
        <x:v>[Enter entity name]</x:v>
      </x:c>
      <x:c r="C2" s="67" t="str">
        <x:v>Period end</x:v>
      </x:c>
      <x:c r="D2" s="73" t="str">
        <x:f>IF('General'!B4="","",'General'!B4)</x:f>
      </x:c>
      <x:c r="E2" s="67" t="str">
        <x:v>Currency</x:v>
      </x:c>
      <x:c r="F2" s="70" t="str">
        <x:f>'General'!B5</x:f>
        <x:v>GBP</x:v>
      </x:c>
      <x:c r="G2" s="67" t="str">
        <x:v>Prepared by</x:v>
      </x:c>
      <x:c r="H2" s="70" t="str">
        <x:f>'General'!B6</x:f>
        <x:v>[Name / date]</x:v>
      </x:c>
      <x:c r="I2" s="64" t="str">
        <x:v>Reviewed by</x:v>
      </x:c>
      <x:c r="J2" s="57" t="str">
        <x:f>'General'!B7</x:f>
        <x:v>[Name / date]</x:v>
      </x:c>
      <x:c r="K2" s="58"/>
    </x:row>
    <x:row r="3">
      <x:c r="A3" s="63" t="str">
        <x:v>WP reference</x:v>
      </x:c>
      <x:c r="B3" s="71" t="str">
        <x:v>E-5</x:v>
      </x:c>
      <x:c r="C3" s="69" t="str">
        <x:v>Planning mat.</x:v>
      </x:c>
      <x:c r="D3" s="74" t="str">
        <x:f>IF('General'!B9="","",'General'!B9)</x:f>
      </x:c>
      <x:c r="E3" s="75" t="str">
        <x:v>Tolerable error</x:v>
      </x:c>
      <x:c r="F3" s="74" t="str">
        <x:f>IF('General'!B10="","",'General'!B10)</x:f>
      </x:c>
      <x:c r="G3" s="75" t="str">
        <x:v>SAD nominal</x:v>
      </x:c>
      <x:c r="H3" s="74" t="str">
        <x:f>IF('General'!B11="","",'General'!B11)</x:f>
      </x:c>
      <x:c r="I3" s="65" t="str">
        <x:v>Status</x:v>
      </x:c>
      <x:c r="J3" s="98" t="str">
        <x:v>Not started</x:v>
      </x:c>
      <x:c r="K3" s="61"/>
    </x:row>
    <x:row r="4">
      <x:c r="A4" s="1"/>
      <x:c r="B4" s="1"/>
      <x:c r="C4" s="1"/>
      <x:c r="D4" s="1"/>
      <x:c r="E4" s="1"/>
      <x:c r="F4" s="1"/>
      <x:c r="G4" s="1"/>
      <x:c r="H4" s="1"/>
      <x:c r="I4" s="1"/>
      <x:c r="J4" s="1"/>
      <x:c r="K4" s="1"/>
    </x:row>
    <x:row r="5" ht="44" customHeight="1">
      <x:c r="A5" s="78" t="str">
        <x:v>Objective: Evaluate whether trade receivables are recoverable and whether the allowance for doubtful accounts is complete, appropriately measured and presented, including the reasonableness and consistent application of management's methodology, data and assumptions.</x:v>
      </x:c>
      <x:c r="B5" s="78"/>
      <x:c r="C5" s="78"/>
      <x:c r="D5" s="78"/>
      <x:c r="E5" s="78"/>
      <x:c r="F5" s="78"/>
      <x:c r="G5" s="78"/>
      <x:c r="H5" s="78"/>
      <x:c r="I5" s="78"/>
      <x:c r="J5" s="78"/>
      <x:c r="K5" s="78"/>
    </x:row>
    <x:row r="6" ht="70" customHeight="1">
      <x:c r="A6" s="78" t="str">
        <x:v>Execution guidance: Obtain the movement schedule for doubtful balances and the allowance; reconcile it to the ledger; test completeness and accuracy of the aged listing, including ageing by contractual due date; compare ageing structure, write-offs, expense and allowance ratios with prior periods, customer history, industry practice and current economic conditions; inspect subsequent receipts, disputes, legal correspondence and credit-control evidence; test statistical provision rates and qualitative overlays; assess new and old doubtful accounts, write-offs, releases and possible double counting with credit-note or litigation provisions; independently estimate the required allowance and quantify differences.</x:v>
      </x:c>
      <x:c r="B6" s="78"/>
      <x:c r="C6" s="78"/>
      <x:c r="D6" s="78"/>
      <x:c r="E6" s="78"/>
      <x:c r="F6" s="78"/>
      <x:c r="G6" s="78"/>
      <x:c r="H6" s="78"/>
      <x:c r="I6" s="78"/>
      <x:c r="J6" s="78"/>
      <x:c r="K6" s="78"/>
    </x:row>
    <x:row r="7">
      <x:c r="A7" s="1"/>
      <x:c r="B7" s="1"/>
      <x:c r="C7" s="1"/>
      <x:c r="D7" s="1"/>
      <x:c r="E7" s="1"/>
      <x:c r="F7" s="1"/>
      <x:c r="G7" s="1"/>
      <x:c r="H7" s="1"/>
      <x:c r="I7" s="1"/>
      <x:c r="J7" s="1"/>
      <x:c r="K7" s="1"/>
    </x:row>
    <x:row r="8" ht="40" customHeight="1">
      <x:c r="A8" s="82" t="str">
        <x:v>Customer / item</x:v>
      </x:c>
      <x:c r="B8" s="82" t="str">
        <x:v>Balance</x:v>
      </x:c>
      <x:c r="C8" s="82" t="str">
        <x:v>Ageing bucket</x:v>
      </x:c>
      <x:c r="D8" s="82" t="str">
        <x:v>Days overdue</x:v>
      </x:c>
      <x:c r="E8" s="82" t="str">
        <x:v>Subsequent receipts</x:v>
      </x:c>
      <x:c r="F8" s="82" t="str">
        <x:v>Client allowance</x:v>
      </x:c>
      <x:c r="G8" s="82" t="str">
        <x:v>Auditor allowance</x:v>
      </x:c>
      <x:c r="H8" s="82" t="str">
        <x:v>Difference</x:v>
      </x:c>
      <x:c r="I8" s="82" t="str">
        <x:v>Evidence / rationale</x:v>
      </x:c>
      <x:c r="J8" s="82" t="str">
        <x:v>Result</x:v>
      </x:c>
      <x:c r="K8" s="82" t="str">
        <x:v>Tickmarks</x:v>
      </x:c>
    </x:row>
    <x:row r="9" ht="22" customHeight="1">
      <x:c r="A9" s="108"/>
      <x:c r="B9" s="109"/>
      <x:c r="C9" s="108"/>
      <x:c r="D9" s="108"/>
      <x:c r="E9" s="109"/>
      <x:c r="F9" s="109"/>
      <x:c r="G9" s="109"/>
      <x:c r="H9" s="110" t="n">
        <x:f>G9-F9</x:f>
        <x:v>0</x:v>
      </x:c>
      <x:c r="I9" s="108"/>
      <x:c r="J9" s="111" t="str">
        <x:f>IF(A9="","",IF(ABS(H9)&lt;='General'!$B$11,"Cleared","Exception"))</x:f>
      </x:c>
      <x:c r="K9" s="108"/>
    </x:row>
    <x:row r="10" ht="22" customHeight="1">
      <x:c r="A10" s="108"/>
      <x:c r="B10" s="109"/>
      <x:c r="C10" s="108"/>
      <x:c r="D10" s="108"/>
      <x:c r="E10" s="109"/>
      <x:c r="F10" s="109"/>
      <x:c r="G10" s="109"/>
      <x:c r="H10" s="110" t="n">
        <x:f>G10-F10</x:f>
        <x:v>0</x:v>
      </x:c>
      <x:c r="I10" s="108"/>
      <x:c r="J10" s="111" t="str">
        <x:f>IF(A10="","",IF(ABS(H10)&lt;='General'!$B$11,"Cleared","Exception"))</x:f>
      </x:c>
      <x:c r="K10" s="108"/>
    </x:row>
    <x:row r="11" ht="22" customHeight="1">
      <x:c r="A11" s="108"/>
      <x:c r="B11" s="109"/>
      <x:c r="C11" s="108"/>
      <x:c r="D11" s="108"/>
      <x:c r="E11" s="109"/>
      <x:c r="F11" s="109"/>
      <x:c r="G11" s="109"/>
      <x:c r="H11" s="110" t="n">
        <x:f>G11-F11</x:f>
        <x:v>0</x:v>
      </x:c>
      <x:c r="I11" s="108"/>
      <x:c r="J11" s="111" t="str">
        <x:f>IF(A11="","",IF(ABS(H11)&lt;='General'!$B$11,"Cleared","Exception"))</x:f>
      </x:c>
      <x:c r="K11" s="108"/>
    </x:row>
    <x:row r="12" ht="22" customHeight="1">
      <x:c r="A12" s="108"/>
      <x:c r="B12" s="109"/>
      <x:c r="C12" s="108"/>
      <x:c r="D12" s="108"/>
      <x:c r="E12" s="109"/>
      <x:c r="F12" s="109"/>
      <x:c r="G12" s="109"/>
      <x:c r="H12" s="110" t="n">
        <x:f>G12-F12</x:f>
        <x:v>0</x:v>
      </x:c>
      <x:c r="I12" s="108"/>
      <x:c r="J12" s="111" t="str">
        <x:f>IF(A12="","",IF(ABS(H12)&lt;='General'!$B$11,"Cleared","Exception"))</x:f>
      </x:c>
      <x:c r="K12" s="108"/>
    </x:row>
    <x:row r="13" ht="22" customHeight="1">
      <x:c r="A13" s="108"/>
      <x:c r="B13" s="109"/>
      <x:c r="C13" s="108"/>
      <x:c r="D13" s="108"/>
      <x:c r="E13" s="109"/>
      <x:c r="F13" s="109"/>
      <x:c r="G13" s="109"/>
      <x:c r="H13" s="110" t="n">
        <x:f>G13-F13</x:f>
        <x:v>0</x:v>
      </x:c>
      <x:c r="I13" s="108"/>
      <x:c r="J13" s="111" t="str">
        <x:f>IF(A13="","",IF(ABS(H13)&lt;='General'!$B$11,"Cleared","Exception"))</x:f>
      </x:c>
      <x:c r="K13" s="108"/>
    </x:row>
    <x:row r="14" ht="22" customHeight="1">
      <x:c r="A14" s="108"/>
      <x:c r="B14" s="109"/>
      <x:c r="C14" s="108"/>
      <x:c r="D14" s="108"/>
      <x:c r="E14" s="109"/>
      <x:c r="F14" s="109"/>
      <x:c r="G14" s="109"/>
      <x:c r="H14" s="110" t="n">
        <x:f>G14-F14</x:f>
        <x:v>0</x:v>
      </x:c>
      <x:c r="I14" s="108"/>
      <x:c r="J14" s="111" t="str">
        <x:f>IF(A14="","",IF(ABS(H14)&lt;='General'!$B$11,"Cleared","Exception"))</x:f>
      </x:c>
      <x:c r="K14" s="108"/>
    </x:row>
    <x:row r="15" ht="22" customHeight="1">
      <x:c r="A15" s="108"/>
      <x:c r="B15" s="109"/>
      <x:c r="C15" s="108"/>
      <x:c r="D15" s="108"/>
      <x:c r="E15" s="109"/>
      <x:c r="F15" s="109"/>
      <x:c r="G15" s="109"/>
      <x:c r="H15" s="110" t="n">
        <x:f>G15-F15</x:f>
        <x:v>0</x:v>
      </x:c>
      <x:c r="I15" s="108"/>
      <x:c r="J15" s="111" t="str">
        <x:f>IF(A15="","",IF(ABS(H15)&lt;='General'!$B$11,"Cleared","Exception"))</x:f>
      </x:c>
      <x:c r="K15" s="108"/>
    </x:row>
    <x:row r="16" ht="22" customHeight="1">
      <x:c r="A16" s="108"/>
      <x:c r="B16" s="109"/>
      <x:c r="C16" s="108"/>
      <x:c r="D16" s="108"/>
      <x:c r="E16" s="109"/>
      <x:c r="F16" s="109"/>
      <x:c r="G16" s="109"/>
      <x:c r="H16" s="110" t="n">
        <x:f>G16-F16</x:f>
        <x:v>0</x:v>
      </x:c>
      <x:c r="I16" s="108"/>
      <x:c r="J16" s="111" t="str">
        <x:f>IF(A16="","",IF(ABS(H16)&lt;='General'!$B$11,"Cleared","Exception"))</x:f>
      </x:c>
      <x:c r="K16" s="108"/>
    </x:row>
    <x:row r="17" ht="22" customHeight="1">
      <x:c r="A17" s="108"/>
      <x:c r="B17" s="109"/>
      <x:c r="C17" s="108"/>
      <x:c r="D17" s="108"/>
      <x:c r="E17" s="109"/>
      <x:c r="F17" s="109"/>
      <x:c r="G17" s="109"/>
      <x:c r="H17" s="110" t="n">
        <x:f>G17-F17</x:f>
        <x:v>0</x:v>
      </x:c>
      <x:c r="I17" s="108"/>
      <x:c r="J17" s="111" t="str">
        <x:f>IF(A17="","",IF(ABS(H17)&lt;='General'!$B$11,"Cleared","Exception"))</x:f>
      </x:c>
      <x:c r="K17" s="108"/>
    </x:row>
    <x:row r="18" ht="22" customHeight="1">
      <x:c r="A18" s="108"/>
      <x:c r="B18" s="109"/>
      <x:c r="C18" s="108"/>
      <x:c r="D18" s="108"/>
      <x:c r="E18" s="109"/>
      <x:c r="F18" s="109"/>
      <x:c r="G18" s="109"/>
      <x:c r="H18" s="110" t="n">
        <x:f>G18-F18</x:f>
        <x:v>0</x:v>
      </x:c>
      <x:c r="I18" s="108"/>
      <x:c r="J18" s="111" t="str">
        <x:f>IF(A18="","",IF(ABS(H18)&lt;='General'!$B$11,"Cleared","Exception"))</x:f>
      </x:c>
      <x:c r="K18" s="108"/>
    </x:row>
    <x:row r="19" ht="22" customHeight="1">
      <x:c r="A19" s="108"/>
      <x:c r="B19" s="109"/>
      <x:c r="C19" s="108"/>
      <x:c r="D19" s="108"/>
      <x:c r="E19" s="109"/>
      <x:c r="F19" s="109"/>
      <x:c r="G19" s="109"/>
      <x:c r="H19" s="110" t="n">
        <x:f>G19-F19</x:f>
        <x:v>0</x:v>
      </x:c>
      <x:c r="I19" s="108"/>
      <x:c r="J19" s="111" t="str">
        <x:f>IF(A19="","",IF(ABS(H19)&lt;='General'!$B$11,"Cleared","Exception"))</x:f>
      </x:c>
      <x:c r="K19" s="108"/>
    </x:row>
    <x:row r="20" ht="22" customHeight="1">
      <x:c r="A20" s="108"/>
      <x:c r="B20" s="109"/>
      <x:c r="C20" s="108"/>
      <x:c r="D20" s="108"/>
      <x:c r="E20" s="109"/>
      <x:c r="F20" s="109"/>
      <x:c r="G20" s="109"/>
      <x:c r="H20" s="110" t="n">
        <x:f>G20-F20</x:f>
        <x:v>0</x:v>
      </x:c>
      <x:c r="I20" s="108"/>
      <x:c r="J20" s="111" t="str">
        <x:f>IF(A20="","",IF(ABS(H20)&lt;='General'!$B$11,"Cleared","Exception"))</x:f>
      </x:c>
      <x:c r="K20" s="108"/>
    </x:row>
    <x:row r="21" ht="22" customHeight="1">
      <x:c r="A21" s="108"/>
      <x:c r="B21" s="109"/>
      <x:c r="C21" s="108"/>
      <x:c r="D21" s="108"/>
      <x:c r="E21" s="109"/>
      <x:c r="F21" s="109"/>
      <x:c r="G21" s="109"/>
      <x:c r="H21" s="110" t="n">
        <x:f>G21-F21</x:f>
        <x:v>0</x:v>
      </x:c>
      <x:c r="I21" s="108"/>
      <x:c r="J21" s="111" t="str">
        <x:f>IF(A21="","",IF(ABS(H21)&lt;='General'!$B$11,"Cleared","Exception"))</x:f>
      </x:c>
      <x:c r="K21" s="108"/>
    </x:row>
    <x:row r="22" ht="22" customHeight="1">
      <x:c r="A22" s="108"/>
      <x:c r="B22" s="109"/>
      <x:c r="C22" s="108"/>
      <x:c r="D22" s="108"/>
      <x:c r="E22" s="109"/>
      <x:c r="F22" s="109"/>
      <x:c r="G22" s="109"/>
      <x:c r="H22" s="110" t="n">
        <x:f>G22-F22</x:f>
        <x:v>0</x:v>
      </x:c>
      <x:c r="I22" s="108"/>
      <x:c r="J22" s="111" t="str">
        <x:f>IF(A22="","",IF(ABS(H22)&lt;='General'!$B$11,"Cleared","Exception"))</x:f>
      </x:c>
      <x:c r="K22" s="108"/>
    </x:row>
    <x:row r="23" ht="22" customHeight="1">
      <x:c r="A23" s="108"/>
      <x:c r="B23" s="109"/>
      <x:c r="C23" s="108"/>
      <x:c r="D23" s="108"/>
      <x:c r="E23" s="109"/>
      <x:c r="F23" s="109"/>
      <x:c r="G23" s="109"/>
      <x:c r="H23" s="110" t="n">
        <x:f>G23-F23</x:f>
        <x:v>0</x:v>
      </x:c>
      <x:c r="I23" s="108"/>
      <x:c r="J23" s="111" t="str">
        <x:f>IF(A23="","",IF(ABS(H23)&lt;='General'!$B$11,"Cleared","Exception"))</x:f>
      </x:c>
      <x:c r="K23" s="108"/>
    </x:row>
    <x:row r="24" ht="22" customHeight="1">
      <x:c r="A24" s="108"/>
      <x:c r="B24" s="109"/>
      <x:c r="C24" s="108"/>
      <x:c r="D24" s="108"/>
      <x:c r="E24" s="109"/>
      <x:c r="F24" s="109"/>
      <x:c r="G24" s="109"/>
      <x:c r="H24" s="110" t="n">
        <x:f>G24-F24</x:f>
        <x:v>0</x:v>
      </x:c>
      <x:c r="I24" s="108"/>
      <x:c r="J24" s="111" t="str">
        <x:f>IF(A24="","",IF(ABS(H24)&lt;='General'!$B$11,"Cleared","Exception"))</x:f>
      </x:c>
      <x:c r="K24" s="108"/>
    </x:row>
    <x:row r="25" ht="22" customHeight="1">
      <x:c r="A25" s="108"/>
      <x:c r="B25" s="109"/>
      <x:c r="C25" s="108"/>
      <x:c r="D25" s="108"/>
      <x:c r="E25" s="109"/>
      <x:c r="F25" s="109"/>
      <x:c r="G25" s="109"/>
      <x:c r="H25" s="110" t="n">
        <x:f>G25-F25</x:f>
        <x:v>0</x:v>
      </x:c>
      <x:c r="I25" s="108"/>
      <x:c r="J25" s="111" t="str">
        <x:f>IF(A25="","",IF(ABS(H25)&lt;='General'!$B$11,"Cleared","Exception"))</x:f>
      </x:c>
      <x:c r="K25" s="108"/>
    </x:row>
    <x:row r="26" ht="22" customHeight="1">
      <x:c r="A26" s="108"/>
      <x:c r="B26" s="109"/>
      <x:c r="C26" s="108"/>
      <x:c r="D26" s="108"/>
      <x:c r="E26" s="109"/>
      <x:c r="F26" s="109"/>
      <x:c r="G26" s="109"/>
      <x:c r="H26" s="110" t="n">
        <x:f>G26-F26</x:f>
        <x:v>0</x:v>
      </x:c>
      <x:c r="I26" s="108"/>
      <x:c r="J26" s="111" t="str">
        <x:f>IF(A26="","",IF(ABS(H26)&lt;='General'!$B$11,"Cleared","Exception"))</x:f>
      </x:c>
      <x:c r="K26" s="108"/>
    </x:row>
    <x:row r="27" ht="22" customHeight="1">
      <x:c r="A27" s="108"/>
      <x:c r="B27" s="109"/>
      <x:c r="C27" s="108"/>
      <x:c r="D27" s="108"/>
      <x:c r="E27" s="109"/>
      <x:c r="F27" s="109"/>
      <x:c r="G27" s="109"/>
      <x:c r="H27" s="110" t="n">
        <x:f>G27-F27</x:f>
        <x:v>0</x:v>
      </x:c>
      <x:c r="I27" s="108"/>
      <x:c r="J27" s="111" t="str">
        <x:f>IF(A27="","",IF(ABS(H27)&lt;='General'!$B$11,"Cleared","Exception"))</x:f>
      </x:c>
      <x:c r="K27" s="108"/>
    </x:row>
    <x:row r="28" ht="22" customHeight="1">
      <x:c r="A28" s="108"/>
      <x:c r="B28" s="109"/>
      <x:c r="C28" s="108"/>
      <x:c r="D28" s="108"/>
      <x:c r="E28" s="109"/>
      <x:c r="F28" s="109"/>
      <x:c r="G28" s="109"/>
      <x:c r="H28" s="110" t="n">
        <x:f>G28-F28</x:f>
        <x:v>0</x:v>
      </x:c>
      <x:c r="I28" s="108"/>
      <x:c r="J28" s="111" t="str">
        <x:f>IF(A28="","",IF(ABS(H28)&lt;='General'!$B$11,"Cleared","Exception"))</x:f>
      </x:c>
      <x:c r="K28" s="108"/>
    </x:row>
    <x:row r="29">
      <x:c r="A29" s="1"/>
      <x:c r="B29" s="1"/>
      <x:c r="C29" s="1"/>
      <x:c r="D29" s="1"/>
      <x:c r="E29" s="1"/>
      <x:c r="F29" s="1"/>
      <x:c r="G29" s="1"/>
      <x:c r="H29" s="1"/>
      <x:c r="I29" s="1"/>
      <x:c r="J29" s="1"/>
      <x:c r="K29" s="1"/>
    </x:row>
    <x:row r="30">
      <x:c r="A30" s="95" t="str">
        <x:v>Conclusion: [Document the results, identified or projected misstatements, unresolved matters, and whether the audit objective has been achieved.]</x:v>
      </x:c>
      <x:c r="B30" s="96"/>
      <x:c r="C30" s="96"/>
      <x:c r="D30" s="96"/>
      <x:c r="E30" s="96"/>
      <x:c r="F30" s="96"/>
      <x:c r="G30" s="96"/>
      <x:c r="H30" s="96"/>
      <x:c r="I30" s="96"/>
      <x:c r="J30" s="96"/>
      <x:c r="K30" s="97"/>
    </x:row>
    <x:row r="31">
      <x:c r="A31" s="1"/>
      <x:c r="B31" s="1"/>
      <x:c r="C31" s="1"/>
      <x:c r="D31" s="1"/>
      <x:c r="E31" s="1"/>
      <x:c r="F31" s="1"/>
      <x:c r="G31" s="1"/>
      <x:c r="H31" s="1"/>
      <x:c r="I31" s="1"/>
      <x:c r="J31" s="1"/>
      <x:c r="K31" s="1"/>
    </x:row>
    <x:row r="32">
      <x:c r="A32" s="1"/>
      <x:c r="B32" s="1"/>
      <x:c r="C32" s="1"/>
      <x:c r="D32" s="1"/>
      <x:c r="E32" s="1"/>
      <x:c r="F32" s="1"/>
      <x:c r="G32" s="1"/>
      <x:c r="H32" s="1"/>
      <x:c r="I32" s="1"/>
      <x:c r="J32" s="1"/>
      <x:c r="K32" s="1"/>
    </x:row>
    <x:row r="33">
      <x:c r="A33" s="1"/>
      <x:c r="B33" s="1"/>
      <x:c r="C33" s="1"/>
      <x:c r="D33" s="1"/>
      <x:c r="E33" s="1"/>
      <x:c r="F33" s="1"/>
      <x:c r="G33" s="1"/>
      <x:c r="H33" s="1"/>
      <x:c r="I33" s="1"/>
      <x:c r="J33" s="1"/>
      <x:c r="K33" s="1"/>
    </x:row>
    <x:row r="34">
      <x:c r="A34" s="1"/>
      <x:c r="B34" s="1"/>
      <x:c r="C34" s="1"/>
      <x:c r="D34" s="1"/>
      <x:c r="E34" s="1"/>
      <x:c r="F34" s="1"/>
      <x:c r="G34" s="1"/>
      <x:c r="H34" s="1"/>
      <x:c r="I34" s="1"/>
      <x:c r="J34" s="1"/>
      <x:c r="K34" s="1"/>
    </x:row>
  </x:sheetData>
  <x:mergeCells>
    <x:mergeCell ref="A1:K1"/>
    <x:mergeCell ref="A5:K5"/>
    <x:mergeCell ref="A6:K6"/>
    <x:mergeCell ref="A30:K30"/>
  </x:mergeCells>
  <x:conditionalFormatting sqref="J9:J28">
    <x:cfRule type="containsText" dxfId="10" priority="1" operator="containsText" text="Exception"/>
    <x:cfRule type="containsText" dxfId="11" priority="2" operator="containsText" text="Cleared"/>
  </x:conditionalFormatting>
  <x:dataValidations count="3">
    <x:dataValidation type="list" sqref="J3">
      <x:formula1>"Not started,In progress,Prepared,Reviewed"</x:formula1>
    </x:dataValidation>
    <x:dataValidation type="list" sqref="C9:C28">
      <x:formula1>"Current,1-30 days,31-60 days,61-90 days,&gt;90 days,Disputed"</x:formula1>
    </x:dataValidation>
    <x:dataValidation type="list" sqref="K9:K28">
      <x:formula1>Tickmarks!$A$4:$A$21</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9" hidden="0" customWidth="1"/>
    <x:col min="2" max="2" width="17" hidden="0" customWidth="1"/>
    <x:col min="3" max="3" width="13" hidden="0" customWidth="1"/>
    <x:col min="4" max="4" width="14" hidden="0" customWidth="1"/>
    <x:col min="5" max="5" width="14" hidden="0" customWidth="1"/>
    <x:col min="6" max="6" width="13" hidden="0" customWidth="1"/>
    <x:col min="7" max="7" width="17" hidden="0" customWidth="1"/>
    <x:col min="8" max="8" width="24" hidden="0" customWidth="1"/>
    <x:col min="9" max="9" width="13" hidden="0" customWidth="1"/>
    <x:col min="10" max="10" width="11" hidden="0" customWidth="1"/>
  </x:cols>
  <x:sheetData>
    <x:row r="1" ht="24" customHeight="1">
      <x:c r="A1" s="4" t="str">
        <x:v>E - Trade Receivables | E-6 Other adjustments to accounts receivable</x:v>
      </x:c>
      <x:c r="B1" s="4"/>
      <x:c r="C1" s="4"/>
      <x:c r="D1" s="4"/>
      <x:c r="E1" s="4"/>
      <x:c r="F1" s="4"/>
      <x:c r="G1" s="4"/>
      <x:c r="H1" s="4"/>
      <x:c r="I1" s="4"/>
      <x:c r="J1" s="4"/>
    </x:row>
    <x:row r="2">
      <x:c r="A2" s="62" t="str">
        <x:v>Entity</x:v>
      </x:c>
      <x:c r="B2" s="70" t="str">
        <x:f>'General'!B3</x:f>
        <x:v>[Enter entity name]</x:v>
      </x:c>
      <x:c r="C2" s="67" t="str">
        <x:v>Period end</x:v>
      </x:c>
      <x:c r="D2" s="73" t="str">
        <x:f>IF('General'!B4="","",'General'!B4)</x:f>
      </x:c>
      <x:c r="E2" s="67" t="str">
        <x:v>Currency</x:v>
      </x:c>
      <x:c r="F2" s="70" t="str">
        <x:f>'General'!B5</x:f>
        <x:v>GBP</x:v>
      </x:c>
      <x:c r="G2" s="67" t="str">
        <x:v>Prepared by</x:v>
      </x:c>
      <x:c r="H2" s="70" t="str">
        <x:f>'General'!B6</x:f>
        <x:v>[Name / date]</x:v>
      </x:c>
      <x:c r="I2" s="64" t="str">
        <x:v>Reviewed by</x:v>
      </x:c>
      <x:c r="J2" s="58" t="str">
        <x:f>'General'!B7</x:f>
        <x:v>[Name / date]</x:v>
      </x:c>
    </x:row>
    <x:row r="3">
      <x:c r="A3" s="63" t="str">
        <x:v>WP reference</x:v>
      </x:c>
      <x:c r="B3" s="71" t="str">
        <x:v>E-6</x:v>
      </x:c>
      <x:c r="C3" s="69" t="str">
        <x:v>Planning mat.</x:v>
      </x:c>
      <x:c r="D3" s="74" t="str">
        <x:f>IF('General'!B9="","",'General'!B9)</x:f>
      </x:c>
      <x:c r="E3" s="75" t="str">
        <x:v>Tolerable error</x:v>
      </x:c>
      <x:c r="F3" s="74" t="str">
        <x:f>IF('General'!B10="","",'General'!B10)</x:f>
      </x:c>
      <x:c r="G3" s="75" t="str">
        <x:v>SAD nominal</x:v>
      </x:c>
      <x:c r="H3" s="74" t="str">
        <x:f>IF('General'!B11="","",'General'!B11)</x:f>
      </x:c>
      <x:c r="I3" s="65" t="str">
        <x:v>Status</x:v>
      </x:c>
      <x:c r="J3" s="72" t="str">
        <x:v>Not started</x:v>
      </x:c>
    </x:row>
    <x:row r="4">
      <x:c r="A4" s="1"/>
      <x:c r="B4" s="1"/>
      <x:c r="C4" s="1"/>
      <x:c r="D4" s="1"/>
      <x:c r="E4" s="1"/>
      <x:c r="F4" s="1"/>
      <x:c r="G4" s="1"/>
      <x:c r="H4" s="1"/>
      <x:c r="I4" s="1"/>
      <x:c r="J4" s="1"/>
    </x:row>
    <x:row r="5" ht="44" customHeight="1">
      <x:c r="A5" s="78" t="str">
        <x:v>Objective: Determine whether rebates, returns, discounts, credit notes, accrued customer incentives, unbilled receivables and other adjustments are complete, accurately calculated, appropriately valued and recorded in the correct period.</x:v>
      </x:c>
      <x:c r="B5" s="78"/>
      <x:c r="C5" s="78"/>
      <x:c r="D5" s="78"/>
      <x:c r="E5" s="78"/>
      <x:c r="F5" s="78"/>
      <x:c r="G5" s="78"/>
      <x:c r="H5" s="78"/>
      <x:c r="I5" s="78"/>
      <x:c r="J5" s="78"/>
    </x:row>
    <x:row r="6" ht="70" customHeight="1">
      <x:c r="A6" s="78" t="str">
        <x:v>Execution guidance: Understand relevant policies and contract terms; obtain and reconcile complete adjustment schedules; compare trends and ratios by customer and with prior periods; select significant and risk-based items; agree rebate or cooperation rates to contracts and the underlying sales base to accounting records; recalculate provisions and trace amounts already recorded; inspect post-year-end credit notes, payments and reversals; test unbilled receivables to contracts, invoices and delivery or service evidence; assess cut-off; and evaluate whether adjustments overlap with the doubtful-debt allowance or other provisions.</x:v>
      </x:c>
      <x:c r="B6" s="78"/>
      <x:c r="C6" s="78"/>
      <x:c r="D6" s="78"/>
      <x:c r="E6" s="78"/>
      <x:c r="F6" s="78"/>
      <x:c r="G6" s="78"/>
      <x:c r="H6" s="78"/>
      <x:c r="I6" s="78"/>
      <x:c r="J6" s="78"/>
    </x:row>
    <x:row r="7">
      <x:c r="A7" s="1"/>
      <x:c r="B7" s="1"/>
      <x:c r="C7" s="1"/>
      <x:c r="D7" s="1"/>
      <x:c r="E7" s="1"/>
      <x:c r="F7" s="1"/>
      <x:c r="G7" s="1"/>
      <x:c r="H7" s="1"/>
      <x:c r="I7" s="1"/>
      <x:c r="J7" s="1"/>
    </x:row>
    <x:row r="8" ht="40" customHeight="1">
      <x:c r="A8" s="82" t="str">
        <x:v>Ref.</x:v>
      </x:c>
      <x:c r="B8" s="82" t="str">
        <x:v>Adjustment type</x:v>
      </x:c>
      <x:c r="C8" s="82" t="str">
        <x:v>Gross amount</x:v>
      </x:c>
      <x:c r="D8" s="82" t="str">
        <x:v>Client adjustment</x:v>
      </x:c>
      <x:c r="E8" s="82" t="str">
        <x:v>Auditor expected</x:v>
      </x:c>
      <x:c r="F8" s="82" t="str">
        <x:v>Difference</x:v>
      </x:c>
      <x:c r="G8" s="82" t="str">
        <x:v>Calculation tested</x:v>
      </x:c>
      <x:c r="H8" s="82" t="str">
        <x:v>Supporting evidence</x:v>
      </x:c>
      <x:c r="I8" s="82" t="str">
        <x:v>Result</x:v>
      </x:c>
      <x:c r="J8" s="82" t="str">
        <x:v>Tickmarks</x:v>
      </x:c>
    </x:row>
    <x:row r="9" ht="22" customHeight="1">
      <x:c r="A9" s="108"/>
      <x:c r="B9" s="108"/>
      <x:c r="C9" s="109"/>
      <x:c r="D9" s="109"/>
      <x:c r="E9" s="109"/>
      <x:c r="F9" s="110" t="n">
        <x:f>E9-D9</x:f>
        <x:v>0</x:v>
      </x:c>
      <x:c r="G9" s="108"/>
      <x:c r="H9" s="108"/>
      <x:c r="I9" s="111" t="str">
        <x:f>IF(B9="","",IF(ABS(F9)&lt;='General'!$B$11,"Cleared","Exception"))</x:f>
      </x:c>
      <x:c r="J9" s="108"/>
    </x:row>
    <x:row r="10" ht="22" customHeight="1">
      <x:c r="A10" s="108"/>
      <x:c r="B10" s="108"/>
      <x:c r="C10" s="109"/>
      <x:c r="D10" s="109"/>
      <x:c r="E10" s="109"/>
      <x:c r="F10" s="110" t="n">
        <x:f>E10-D10</x:f>
        <x:v>0</x:v>
      </x:c>
      <x:c r="G10" s="108"/>
      <x:c r="H10" s="108"/>
      <x:c r="I10" s="111" t="str">
        <x:f>IF(B10="","",IF(ABS(F10)&lt;='General'!$B$11,"Cleared","Exception"))</x:f>
      </x:c>
      <x:c r="J10" s="108"/>
    </x:row>
    <x:row r="11" ht="22" customHeight="1">
      <x:c r="A11" s="108"/>
      <x:c r="B11" s="108"/>
      <x:c r="C11" s="109"/>
      <x:c r="D11" s="109"/>
      <x:c r="E11" s="109"/>
      <x:c r="F11" s="110" t="n">
        <x:f>E11-D11</x:f>
        <x:v>0</x:v>
      </x:c>
      <x:c r="G11" s="108"/>
      <x:c r="H11" s="108"/>
      <x:c r="I11" s="111" t="str">
        <x:f>IF(B11="","",IF(ABS(F11)&lt;='General'!$B$11,"Cleared","Exception"))</x:f>
      </x:c>
      <x:c r="J11" s="108"/>
    </x:row>
    <x:row r="12" ht="22" customHeight="1">
      <x:c r="A12" s="108"/>
      <x:c r="B12" s="108"/>
      <x:c r="C12" s="109"/>
      <x:c r="D12" s="109"/>
      <x:c r="E12" s="109"/>
      <x:c r="F12" s="110" t="n">
        <x:f>E12-D12</x:f>
        <x:v>0</x:v>
      </x:c>
      <x:c r="G12" s="108"/>
      <x:c r="H12" s="108"/>
      <x:c r="I12" s="111" t="str">
        <x:f>IF(B12="","",IF(ABS(F12)&lt;='General'!$B$11,"Cleared","Exception"))</x:f>
      </x:c>
      <x:c r="J12" s="108"/>
    </x:row>
    <x:row r="13" ht="22" customHeight="1">
      <x:c r="A13" s="108"/>
      <x:c r="B13" s="108"/>
      <x:c r="C13" s="109"/>
      <x:c r="D13" s="109"/>
      <x:c r="E13" s="109"/>
      <x:c r="F13" s="110" t="n">
        <x:f>E13-D13</x:f>
        <x:v>0</x:v>
      </x:c>
      <x:c r="G13" s="108"/>
      <x:c r="H13" s="108"/>
      <x:c r="I13" s="111" t="str">
        <x:f>IF(B13="","",IF(ABS(F13)&lt;='General'!$B$11,"Cleared","Exception"))</x:f>
      </x:c>
      <x:c r="J13" s="108"/>
    </x:row>
    <x:row r="14" ht="22" customHeight="1">
      <x:c r="A14" s="108"/>
      <x:c r="B14" s="108"/>
      <x:c r="C14" s="109"/>
      <x:c r="D14" s="109"/>
      <x:c r="E14" s="109"/>
      <x:c r="F14" s="110" t="n">
        <x:f>E14-D14</x:f>
        <x:v>0</x:v>
      </x:c>
      <x:c r="G14" s="108"/>
      <x:c r="H14" s="108"/>
      <x:c r="I14" s="111" t="str">
        <x:f>IF(B14="","",IF(ABS(F14)&lt;='General'!$B$11,"Cleared","Exception"))</x:f>
      </x:c>
      <x:c r="J14" s="108"/>
    </x:row>
    <x:row r="15" ht="22" customHeight="1">
      <x:c r="A15" s="108"/>
      <x:c r="B15" s="108"/>
      <x:c r="C15" s="109"/>
      <x:c r="D15" s="109"/>
      <x:c r="E15" s="109"/>
      <x:c r="F15" s="110" t="n">
        <x:f>E15-D15</x:f>
        <x:v>0</x:v>
      </x:c>
      <x:c r="G15" s="108"/>
      <x:c r="H15" s="108"/>
      <x:c r="I15" s="111" t="str">
        <x:f>IF(B15="","",IF(ABS(F15)&lt;='General'!$B$11,"Cleared","Exception"))</x:f>
      </x:c>
      <x:c r="J15" s="108"/>
    </x:row>
    <x:row r="16" ht="22" customHeight="1">
      <x:c r="A16" s="108"/>
      <x:c r="B16" s="108"/>
      <x:c r="C16" s="109"/>
      <x:c r="D16" s="109"/>
      <x:c r="E16" s="109"/>
      <x:c r="F16" s="110" t="n">
        <x:f>E16-D16</x:f>
        <x:v>0</x:v>
      </x:c>
      <x:c r="G16" s="108"/>
      <x:c r="H16" s="108"/>
      <x:c r="I16" s="111" t="str">
        <x:f>IF(B16="","",IF(ABS(F16)&lt;='General'!$B$11,"Cleared","Exception"))</x:f>
      </x:c>
      <x:c r="J16" s="108"/>
    </x:row>
    <x:row r="17" ht="22" customHeight="1">
      <x:c r="A17" s="108"/>
      <x:c r="B17" s="108"/>
      <x:c r="C17" s="109"/>
      <x:c r="D17" s="109"/>
      <x:c r="E17" s="109"/>
      <x:c r="F17" s="110" t="n">
        <x:f>E17-D17</x:f>
        <x:v>0</x:v>
      </x:c>
      <x:c r="G17" s="108"/>
      <x:c r="H17" s="108"/>
      <x:c r="I17" s="111" t="str">
        <x:f>IF(B17="","",IF(ABS(F17)&lt;='General'!$B$11,"Cleared","Exception"))</x:f>
      </x:c>
      <x:c r="J17" s="108"/>
    </x:row>
    <x:row r="18" ht="22" customHeight="1">
      <x:c r="A18" s="108"/>
      <x:c r="B18" s="108"/>
      <x:c r="C18" s="109"/>
      <x:c r="D18" s="109"/>
      <x:c r="E18" s="109"/>
      <x:c r="F18" s="110" t="n">
        <x:f>E18-D18</x:f>
        <x:v>0</x:v>
      </x:c>
      <x:c r="G18" s="108"/>
      <x:c r="H18" s="108"/>
      <x:c r="I18" s="111" t="str">
        <x:f>IF(B18="","",IF(ABS(F18)&lt;='General'!$B$11,"Cleared","Exception"))</x:f>
      </x:c>
      <x:c r="J18" s="108"/>
    </x:row>
    <x:row r="19" ht="22" customHeight="1">
      <x:c r="A19" s="108"/>
      <x:c r="B19" s="108"/>
      <x:c r="C19" s="109"/>
      <x:c r="D19" s="109"/>
      <x:c r="E19" s="109"/>
      <x:c r="F19" s="110" t="n">
        <x:f>E19-D19</x:f>
        <x:v>0</x:v>
      </x:c>
      <x:c r="G19" s="108"/>
      <x:c r="H19" s="108"/>
      <x:c r="I19" s="111" t="str">
        <x:f>IF(B19="","",IF(ABS(F19)&lt;='General'!$B$11,"Cleared","Exception"))</x:f>
      </x:c>
      <x:c r="J19" s="108"/>
    </x:row>
    <x:row r="20" ht="22" customHeight="1">
      <x:c r="A20" s="108"/>
      <x:c r="B20" s="108"/>
      <x:c r="C20" s="109"/>
      <x:c r="D20" s="109"/>
      <x:c r="E20" s="109"/>
      <x:c r="F20" s="110" t="n">
        <x:f>E20-D20</x:f>
        <x:v>0</x:v>
      </x:c>
      <x:c r="G20" s="108"/>
      <x:c r="H20" s="108"/>
      <x:c r="I20" s="111" t="str">
        <x:f>IF(B20="","",IF(ABS(F20)&lt;='General'!$B$11,"Cleared","Exception"))</x:f>
      </x:c>
      <x:c r="J20" s="108"/>
    </x:row>
    <x:row r="21" ht="22" customHeight="1">
      <x:c r="A21" s="108"/>
      <x:c r="B21" s="108"/>
      <x:c r="C21" s="109"/>
      <x:c r="D21" s="109"/>
      <x:c r="E21" s="109"/>
      <x:c r="F21" s="110" t="n">
        <x:f>E21-D21</x:f>
        <x:v>0</x:v>
      </x:c>
      <x:c r="G21" s="108"/>
      <x:c r="H21" s="108"/>
      <x:c r="I21" s="111" t="str">
        <x:f>IF(B21="","",IF(ABS(F21)&lt;='General'!$B$11,"Cleared","Exception"))</x:f>
      </x:c>
      <x:c r="J21" s="108"/>
    </x:row>
    <x:row r="22" ht="22" customHeight="1">
      <x:c r="A22" s="108"/>
      <x:c r="B22" s="108"/>
      <x:c r="C22" s="109"/>
      <x:c r="D22" s="109"/>
      <x:c r="E22" s="109"/>
      <x:c r="F22" s="110" t="n">
        <x:f>E22-D22</x:f>
        <x:v>0</x:v>
      </x:c>
      <x:c r="G22" s="108"/>
      <x:c r="H22" s="108"/>
      <x:c r="I22" s="111" t="str">
        <x:f>IF(B22="","",IF(ABS(F22)&lt;='General'!$B$11,"Cleared","Exception"))</x:f>
      </x:c>
      <x:c r="J22" s="108"/>
    </x:row>
    <x:row r="23" ht="22" customHeight="1">
      <x:c r="A23" s="108"/>
      <x:c r="B23" s="108"/>
      <x:c r="C23" s="109"/>
      <x:c r="D23" s="109"/>
      <x:c r="E23" s="109"/>
      <x:c r="F23" s="110" t="n">
        <x:f>E23-D23</x:f>
        <x:v>0</x:v>
      </x:c>
      <x:c r="G23" s="108"/>
      <x:c r="H23" s="108"/>
      <x:c r="I23" s="111" t="str">
        <x:f>IF(B23="","",IF(ABS(F23)&lt;='General'!$B$11,"Cleared","Exception"))</x:f>
      </x:c>
      <x:c r="J23" s="108"/>
    </x:row>
    <x:row r="24" ht="22" customHeight="1">
      <x:c r="A24" s="108"/>
      <x:c r="B24" s="108"/>
      <x:c r="C24" s="109"/>
      <x:c r="D24" s="109"/>
      <x:c r="E24" s="109"/>
      <x:c r="F24" s="110" t="n">
        <x:f>E24-D24</x:f>
        <x:v>0</x:v>
      </x:c>
      <x:c r="G24" s="108"/>
      <x:c r="H24" s="108"/>
      <x:c r="I24" s="111" t="str">
        <x:f>IF(B24="","",IF(ABS(F24)&lt;='General'!$B$11,"Cleared","Exception"))</x:f>
      </x:c>
      <x:c r="J24" s="108"/>
    </x:row>
    <x:row r="25" ht="22" customHeight="1">
      <x:c r="A25" s="108"/>
      <x:c r="B25" s="108"/>
      <x:c r="C25" s="109"/>
      <x:c r="D25" s="109"/>
      <x:c r="E25" s="109"/>
      <x:c r="F25" s="110" t="n">
        <x:f>E25-D25</x:f>
        <x:v>0</x:v>
      </x:c>
      <x:c r="G25" s="108"/>
      <x:c r="H25" s="108"/>
      <x:c r="I25" s="111" t="str">
        <x:f>IF(B25="","",IF(ABS(F25)&lt;='General'!$B$11,"Cleared","Exception"))</x:f>
      </x:c>
      <x:c r="J25" s="108"/>
    </x:row>
    <x:row r="26" ht="22" customHeight="1">
      <x:c r="A26" s="108"/>
      <x:c r="B26" s="108"/>
      <x:c r="C26" s="109"/>
      <x:c r="D26" s="109"/>
      <x:c r="E26" s="109"/>
      <x:c r="F26" s="110" t="n">
        <x:f>E26-D26</x:f>
        <x:v>0</x:v>
      </x:c>
      <x:c r="G26" s="108"/>
      <x:c r="H26" s="108"/>
      <x:c r="I26" s="111" t="str">
        <x:f>IF(B26="","",IF(ABS(F26)&lt;='General'!$B$11,"Cleared","Exception"))</x:f>
      </x:c>
      <x:c r="J26" s="108"/>
    </x:row>
    <x:row r="27" ht="22" customHeight="1">
      <x:c r="A27" s="108"/>
      <x:c r="B27" s="108"/>
      <x:c r="C27" s="109"/>
      <x:c r="D27" s="109"/>
      <x:c r="E27" s="109"/>
      <x:c r="F27" s="110" t="n">
        <x:f>E27-D27</x:f>
        <x:v>0</x:v>
      </x:c>
      <x:c r="G27" s="108"/>
      <x:c r="H27" s="108"/>
      <x:c r="I27" s="111" t="str">
        <x:f>IF(B27="","",IF(ABS(F27)&lt;='General'!$B$11,"Cleared","Exception"))</x:f>
      </x:c>
      <x:c r="J27" s="108"/>
    </x:row>
    <x:row r="28" ht="22" customHeight="1">
      <x:c r="A28" s="108"/>
      <x:c r="B28" s="108"/>
      <x:c r="C28" s="109"/>
      <x:c r="D28" s="109"/>
      <x:c r="E28" s="109"/>
      <x:c r="F28" s="110" t="n">
        <x:f>E28-D28</x:f>
        <x:v>0</x:v>
      </x:c>
      <x:c r="G28" s="108"/>
      <x:c r="H28" s="108"/>
      <x:c r="I28" s="111" t="str">
        <x:f>IF(B28="","",IF(ABS(F28)&lt;='General'!$B$11,"Cleared","Exception"))</x:f>
      </x:c>
      <x:c r="J28" s="108"/>
    </x:row>
    <x:row r="29">
      <x:c r="A29" s="1"/>
      <x:c r="B29" s="1"/>
      <x:c r="C29" s="1"/>
      <x:c r="D29" s="1"/>
      <x:c r="E29" s="1"/>
      <x:c r="F29" s="1"/>
      <x:c r="G29" s="1"/>
      <x:c r="H29" s="1"/>
      <x:c r="I29" s="1"/>
      <x:c r="J29" s="1"/>
    </x:row>
    <x:row r="30">
      <x:c r="A30" s="95" t="str">
        <x:v>Conclusion: [Document the results, identified or projected misstatements, unresolved matters, and whether the audit objective has been achieved.]</x:v>
      </x:c>
      <x:c r="B30" s="96"/>
      <x:c r="C30" s="96"/>
      <x:c r="D30" s="96"/>
      <x:c r="E30" s="96"/>
      <x:c r="F30" s="96"/>
      <x:c r="G30" s="96"/>
      <x:c r="H30" s="96"/>
      <x:c r="I30" s="96"/>
      <x:c r="J30" s="97"/>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sheetData>
  <x:mergeCells>
    <x:mergeCell ref="A1:J1"/>
    <x:mergeCell ref="A5:J5"/>
    <x:mergeCell ref="A6:J6"/>
    <x:mergeCell ref="A30:J30"/>
  </x:mergeCells>
  <x:conditionalFormatting sqref="I9:I28">
    <x:cfRule type="containsText" dxfId="12" priority="1" operator="containsText" text="Exception"/>
    <x:cfRule type="containsText" dxfId="13" priority="2" operator="containsText" text="Cleared"/>
  </x:conditionalFormatting>
  <x:dataValidations count="3">
    <x:dataValidation type="list" sqref="J3">
      <x:formula1>"Not started,In progress,Prepared,Reviewed"</x:formula1>
    </x:dataValidation>
    <x:dataValidation type="list" sqref="B9:B28">
      <x:formula1>"Rebate,Credit memo,Discount,Return,Other"</x:formula1>
    </x:dataValidation>
    <x:dataValidation type="list" sqref="J9:J28">
      <x:formula1>Tickmarks!$A$4:$A$21</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0" hidden="0" customWidth="1"/>
    <x:col min="2" max="2" width="10" hidden="0" customWidth="1"/>
    <x:col min="3" max="3" width="14" hidden="0" customWidth="1"/>
    <x:col min="4" max="4" width="12" hidden="0" customWidth="1"/>
    <x:col min="5" max="5" width="14" hidden="0" customWidth="1"/>
    <x:col min="6" max="6" width="12" hidden="0" customWidth="1"/>
    <x:col min="7" max="7" width="14" hidden="0" customWidth="1"/>
    <x:col min="8" max="8" width="13" hidden="0" customWidth="1"/>
    <x:col min="9" max="9" width="20" hidden="0" customWidth="1"/>
    <x:col min="10" max="10" width="13" hidden="0" customWidth="1"/>
    <x:col min="11" max="11" width="11" hidden="0" customWidth="1"/>
  </x:cols>
  <x:sheetData>
    <x:row r="1" ht="24" customHeight="1">
      <x:c r="A1" s="4" t="str">
        <x:v>E - Trade Receivables | E-7 Accounts receivable in foreign currencies</x:v>
      </x:c>
      <x:c r="B1" s="4"/>
      <x:c r="C1" s="4"/>
      <x:c r="D1" s="4"/>
      <x:c r="E1" s="4"/>
      <x:c r="F1" s="4"/>
      <x:c r="G1" s="4"/>
      <x:c r="H1" s="4"/>
      <x:c r="I1" s="4"/>
      <x:c r="J1" s="4"/>
      <x:c r="K1" s="4"/>
    </x:row>
    <x:row r="2">
      <x:c r="A2" s="62" t="str">
        <x:v>Entity</x:v>
      </x:c>
      <x:c r="B2" s="70" t="str">
        <x:f>'General'!B3</x:f>
        <x:v>[Enter entity name]</x:v>
      </x:c>
      <x:c r="C2" s="67" t="str">
        <x:v>Period end</x:v>
      </x:c>
      <x:c r="D2" s="73" t="str">
        <x:f>IF('General'!B4="","",'General'!B4)</x:f>
      </x:c>
      <x:c r="E2" s="67" t="str">
        <x:v>Currency</x:v>
      </x:c>
      <x:c r="F2" s="70" t="str">
        <x:f>'General'!B5</x:f>
        <x:v>GBP</x:v>
      </x:c>
      <x:c r="G2" s="67" t="str">
        <x:v>Prepared by</x:v>
      </x:c>
      <x:c r="H2" s="70" t="str">
        <x:f>'General'!B6</x:f>
        <x:v>[Name / date]</x:v>
      </x:c>
      <x:c r="I2" s="64" t="str">
        <x:v>Reviewed by</x:v>
      </x:c>
      <x:c r="J2" s="57" t="str">
        <x:f>'General'!B7</x:f>
        <x:v>[Name / date]</x:v>
      </x:c>
      <x:c r="K2" s="58"/>
    </x:row>
    <x:row r="3">
      <x:c r="A3" s="63" t="str">
        <x:v>WP reference</x:v>
      </x:c>
      <x:c r="B3" s="71" t="str">
        <x:v>E-7</x:v>
      </x:c>
      <x:c r="C3" s="69" t="str">
        <x:v>Planning mat.</x:v>
      </x:c>
      <x:c r="D3" s="74" t="str">
        <x:f>IF('General'!B9="","",'General'!B9)</x:f>
      </x:c>
      <x:c r="E3" s="75" t="str">
        <x:v>Tolerable error</x:v>
      </x:c>
      <x:c r="F3" s="74" t="str">
        <x:f>IF('General'!B10="","",'General'!B10)</x:f>
      </x:c>
      <x:c r="G3" s="75" t="str">
        <x:v>SAD nominal</x:v>
      </x:c>
      <x:c r="H3" s="74" t="str">
        <x:f>IF('General'!B11="","",'General'!B11)</x:f>
      </x:c>
      <x:c r="I3" s="65" t="str">
        <x:v>Status</x:v>
      </x:c>
      <x:c r="J3" s="98" t="str">
        <x:v>Not started</x:v>
      </x:c>
      <x:c r="K3" s="61"/>
    </x:row>
    <x:row r="4">
      <x:c r="A4" s="1"/>
      <x:c r="B4" s="1"/>
      <x:c r="C4" s="1"/>
      <x:c r="D4" s="1"/>
      <x:c r="E4" s="1"/>
      <x:c r="F4" s="1"/>
      <x:c r="G4" s="1"/>
      <x:c r="H4" s="1"/>
      <x:c r="I4" s="1"/>
      <x:c r="J4" s="1"/>
      <x:c r="K4" s="1"/>
    </x:row>
    <x:row r="5" ht="44" customHeight="1">
      <x:c r="A5" s="78" t="str">
        <x:v>Objective: Determine whether foreign-currency trade receivables are completely identified, translated at appropriate reporting-date exchange rates, accurately remeasured and properly presented, including recognition of resulting exchange differences.</x:v>
      </x:c>
      <x:c r="B5" s="78"/>
      <x:c r="C5" s="78"/>
      <x:c r="D5" s="78"/>
      <x:c r="E5" s="78"/>
      <x:c r="F5" s="78"/>
      <x:c r="G5" s="78"/>
      <x:c r="H5" s="78"/>
      <x:c r="I5" s="78"/>
      <x:c r="J5" s="78"/>
      <x:c r="K5" s="78"/>
    </x:row>
    <x:row r="6" ht="70" customHeight="1">
      <x:c r="A6" s="78" t="str">
        <x:v>Execution guidance: Obtain the complete currency-denominated listing and reconcile it to E-1; test completeness of currency codes and balances; identify significant balances and unusual currencies; agree foreign amounts to the subledger and supporting invoices; compare management's closing rates with an independent source for the same date and rate convention; reperform translations; investigate rate or valuation differences above the documented threshold; verify exchange gains/losses are recorded in the appropriate accounts; and consider whether restrictions, disputes or collectability issues require additional valuation work.</x:v>
      </x:c>
      <x:c r="B6" s="78"/>
      <x:c r="C6" s="78"/>
      <x:c r="D6" s="78"/>
      <x:c r="E6" s="78"/>
      <x:c r="F6" s="78"/>
      <x:c r="G6" s="78"/>
      <x:c r="H6" s="78"/>
      <x:c r="I6" s="78"/>
      <x:c r="J6" s="78"/>
      <x:c r="K6" s="78"/>
    </x:row>
    <x:row r="7">
      <x:c r="A7" s="1"/>
      <x:c r="B7" s="1"/>
      <x:c r="C7" s="1"/>
      <x:c r="D7" s="1"/>
      <x:c r="E7" s="1"/>
      <x:c r="F7" s="1"/>
      <x:c r="G7" s="1"/>
      <x:c r="H7" s="1"/>
      <x:c r="I7" s="1"/>
      <x:c r="J7" s="1"/>
      <x:c r="K7" s="1"/>
    </x:row>
    <x:row r="8" ht="40" customHeight="1">
      <x:c r="A8" s="82" t="str">
        <x:v>Customer / item</x:v>
      </x:c>
      <x:c r="B8" s="82" t="str">
        <x:v>Currency</x:v>
      </x:c>
      <x:c r="C8" s="82" t="str">
        <x:v>Foreign balance</x:v>
      </x:c>
      <x:c r="D8" s="82" t="str">
        <x:v>Client rate</x:v>
      </x:c>
      <x:c r="E8" s="82" t="str">
        <x:v>Client book value</x:v>
      </x:c>
      <x:c r="F8" s="82" t="str">
        <x:v>External rate</x:v>
      </x:c>
      <x:c r="G8" s="82" t="str">
        <x:v>Auditor value</x:v>
      </x:c>
      <x:c r="H8" s="82" t="str">
        <x:v>Difference</x:v>
      </x:c>
      <x:c r="I8" s="82" t="str">
        <x:v>Rate source / date</x:v>
      </x:c>
      <x:c r="J8" s="82" t="str">
        <x:v>Result</x:v>
      </x:c>
      <x:c r="K8" s="82" t="str">
        <x:v>Tickmarks</x:v>
      </x:c>
    </x:row>
    <x:row r="9" ht="22" customHeight="1">
      <x:c r="A9" s="108"/>
      <x:c r="B9" s="108"/>
      <x:c r="C9" s="113"/>
      <x:c r="D9" s="114"/>
      <x:c r="E9" s="109"/>
      <x:c r="F9" s="109"/>
      <x:c r="G9" s="110" t="n">
        <x:f>C9*F9</x:f>
        <x:v>0</x:v>
      </x:c>
      <x:c r="H9" s="110" t="n">
        <x:f>G9-E9</x:f>
        <x:v>0</x:v>
      </x:c>
      <x:c r="I9" s="108"/>
      <x:c r="J9" s="111" t="str">
        <x:f>IF(A9="","",IF(ABS(H9)&lt;='General'!$B$11,"Cleared","Exception"))</x:f>
      </x:c>
      <x:c r="K9" s="108"/>
    </x:row>
    <x:row r="10" ht="22" customHeight="1">
      <x:c r="A10" s="108"/>
      <x:c r="B10" s="108"/>
      <x:c r="C10" s="113"/>
      <x:c r="D10" s="114"/>
      <x:c r="E10" s="109"/>
      <x:c r="F10" s="109"/>
      <x:c r="G10" s="110" t="n">
        <x:f>C10*F10</x:f>
        <x:v>0</x:v>
      </x:c>
      <x:c r="H10" s="110" t="n">
        <x:f>G10-E10</x:f>
        <x:v>0</x:v>
      </x:c>
      <x:c r="I10" s="108"/>
      <x:c r="J10" s="111" t="str">
        <x:f>IF(A10="","",IF(ABS(H10)&lt;='General'!$B$11,"Cleared","Exception"))</x:f>
      </x:c>
      <x:c r="K10" s="108"/>
    </x:row>
    <x:row r="11" ht="22" customHeight="1">
      <x:c r="A11" s="108"/>
      <x:c r="B11" s="108"/>
      <x:c r="C11" s="113"/>
      <x:c r="D11" s="114"/>
      <x:c r="E11" s="109"/>
      <x:c r="F11" s="109"/>
      <x:c r="G11" s="110" t="n">
        <x:f>C11*F11</x:f>
        <x:v>0</x:v>
      </x:c>
      <x:c r="H11" s="110" t="n">
        <x:f>G11-E11</x:f>
        <x:v>0</x:v>
      </x:c>
      <x:c r="I11" s="108"/>
      <x:c r="J11" s="111" t="str">
        <x:f>IF(A11="","",IF(ABS(H11)&lt;='General'!$B$11,"Cleared","Exception"))</x:f>
      </x:c>
      <x:c r="K11" s="108"/>
    </x:row>
    <x:row r="12" ht="22" customHeight="1">
      <x:c r="A12" s="108"/>
      <x:c r="B12" s="108"/>
      <x:c r="C12" s="113"/>
      <x:c r="D12" s="114"/>
      <x:c r="E12" s="109"/>
      <x:c r="F12" s="109"/>
      <x:c r="G12" s="110" t="n">
        <x:f>C12*F12</x:f>
        <x:v>0</x:v>
      </x:c>
      <x:c r="H12" s="110" t="n">
        <x:f>G12-E12</x:f>
        <x:v>0</x:v>
      </x:c>
      <x:c r="I12" s="108"/>
      <x:c r="J12" s="111" t="str">
        <x:f>IF(A12="","",IF(ABS(H12)&lt;='General'!$B$11,"Cleared","Exception"))</x:f>
      </x:c>
      <x:c r="K12" s="108"/>
    </x:row>
    <x:row r="13" ht="22" customHeight="1">
      <x:c r="A13" s="108"/>
      <x:c r="B13" s="108"/>
      <x:c r="C13" s="113"/>
      <x:c r="D13" s="114"/>
      <x:c r="E13" s="109"/>
      <x:c r="F13" s="109"/>
      <x:c r="G13" s="110" t="n">
        <x:f>C13*F13</x:f>
        <x:v>0</x:v>
      </x:c>
      <x:c r="H13" s="110" t="n">
        <x:f>G13-E13</x:f>
        <x:v>0</x:v>
      </x:c>
      <x:c r="I13" s="108"/>
      <x:c r="J13" s="111" t="str">
        <x:f>IF(A13="","",IF(ABS(H13)&lt;='General'!$B$11,"Cleared","Exception"))</x:f>
      </x:c>
      <x:c r="K13" s="108"/>
    </x:row>
    <x:row r="14" ht="22" customHeight="1">
      <x:c r="A14" s="108"/>
      <x:c r="B14" s="108"/>
      <x:c r="C14" s="113"/>
      <x:c r="D14" s="114"/>
      <x:c r="E14" s="109"/>
      <x:c r="F14" s="109"/>
      <x:c r="G14" s="110" t="n">
        <x:f>C14*F14</x:f>
        <x:v>0</x:v>
      </x:c>
      <x:c r="H14" s="110" t="n">
        <x:f>G14-E14</x:f>
        <x:v>0</x:v>
      </x:c>
      <x:c r="I14" s="108"/>
      <x:c r="J14" s="111" t="str">
        <x:f>IF(A14="","",IF(ABS(H14)&lt;='General'!$B$11,"Cleared","Exception"))</x:f>
      </x:c>
      <x:c r="K14" s="108"/>
    </x:row>
    <x:row r="15" ht="22" customHeight="1">
      <x:c r="A15" s="108"/>
      <x:c r="B15" s="108"/>
      <x:c r="C15" s="113"/>
      <x:c r="D15" s="114"/>
      <x:c r="E15" s="109"/>
      <x:c r="F15" s="109"/>
      <x:c r="G15" s="110" t="n">
        <x:f>C15*F15</x:f>
        <x:v>0</x:v>
      </x:c>
      <x:c r="H15" s="110" t="n">
        <x:f>G15-E15</x:f>
        <x:v>0</x:v>
      </x:c>
      <x:c r="I15" s="108"/>
      <x:c r="J15" s="111" t="str">
        <x:f>IF(A15="","",IF(ABS(H15)&lt;='General'!$B$11,"Cleared","Exception"))</x:f>
      </x:c>
      <x:c r="K15" s="108"/>
    </x:row>
    <x:row r="16" ht="22" customHeight="1">
      <x:c r="A16" s="108"/>
      <x:c r="B16" s="108"/>
      <x:c r="C16" s="113"/>
      <x:c r="D16" s="114"/>
      <x:c r="E16" s="109"/>
      <x:c r="F16" s="109"/>
      <x:c r="G16" s="110" t="n">
        <x:f>C16*F16</x:f>
        <x:v>0</x:v>
      </x:c>
      <x:c r="H16" s="110" t="n">
        <x:f>G16-E16</x:f>
        <x:v>0</x:v>
      </x:c>
      <x:c r="I16" s="108"/>
      <x:c r="J16" s="111" t="str">
        <x:f>IF(A16="","",IF(ABS(H16)&lt;='General'!$B$11,"Cleared","Exception"))</x:f>
      </x:c>
      <x:c r="K16" s="108"/>
    </x:row>
    <x:row r="17" ht="22" customHeight="1">
      <x:c r="A17" s="108"/>
      <x:c r="B17" s="108"/>
      <x:c r="C17" s="113"/>
      <x:c r="D17" s="114"/>
      <x:c r="E17" s="109"/>
      <x:c r="F17" s="109"/>
      <x:c r="G17" s="110" t="n">
        <x:f>C17*F17</x:f>
        <x:v>0</x:v>
      </x:c>
      <x:c r="H17" s="110" t="n">
        <x:f>G17-E17</x:f>
        <x:v>0</x:v>
      </x:c>
      <x:c r="I17" s="108"/>
      <x:c r="J17" s="111" t="str">
        <x:f>IF(A17="","",IF(ABS(H17)&lt;='General'!$B$11,"Cleared","Exception"))</x:f>
      </x:c>
      <x:c r="K17" s="108"/>
    </x:row>
    <x:row r="18" ht="22" customHeight="1">
      <x:c r="A18" s="108"/>
      <x:c r="B18" s="108"/>
      <x:c r="C18" s="113"/>
      <x:c r="D18" s="114"/>
      <x:c r="E18" s="109"/>
      <x:c r="F18" s="109"/>
      <x:c r="G18" s="110" t="n">
        <x:f>C18*F18</x:f>
        <x:v>0</x:v>
      </x:c>
      <x:c r="H18" s="110" t="n">
        <x:f>G18-E18</x:f>
        <x:v>0</x:v>
      </x:c>
      <x:c r="I18" s="108"/>
      <x:c r="J18" s="111" t="str">
        <x:f>IF(A18="","",IF(ABS(H18)&lt;='General'!$B$11,"Cleared","Exception"))</x:f>
      </x:c>
      <x:c r="K18" s="108"/>
    </x:row>
    <x:row r="19" ht="22" customHeight="1">
      <x:c r="A19" s="108"/>
      <x:c r="B19" s="108"/>
      <x:c r="C19" s="113"/>
      <x:c r="D19" s="114"/>
      <x:c r="E19" s="109"/>
      <x:c r="F19" s="109"/>
      <x:c r="G19" s="110" t="n">
        <x:f>C19*F19</x:f>
        <x:v>0</x:v>
      </x:c>
      <x:c r="H19" s="110" t="n">
        <x:f>G19-E19</x:f>
        <x:v>0</x:v>
      </x:c>
      <x:c r="I19" s="108"/>
      <x:c r="J19" s="111" t="str">
        <x:f>IF(A19="","",IF(ABS(H19)&lt;='General'!$B$11,"Cleared","Exception"))</x:f>
      </x:c>
      <x:c r="K19" s="108"/>
    </x:row>
    <x:row r="20" ht="22" customHeight="1">
      <x:c r="A20" s="108"/>
      <x:c r="B20" s="108"/>
      <x:c r="C20" s="113"/>
      <x:c r="D20" s="114"/>
      <x:c r="E20" s="109"/>
      <x:c r="F20" s="109"/>
      <x:c r="G20" s="110" t="n">
        <x:f>C20*F20</x:f>
        <x:v>0</x:v>
      </x:c>
      <x:c r="H20" s="110" t="n">
        <x:f>G20-E20</x:f>
        <x:v>0</x:v>
      </x:c>
      <x:c r="I20" s="108"/>
      <x:c r="J20" s="111" t="str">
        <x:f>IF(A20="","",IF(ABS(H20)&lt;='General'!$B$11,"Cleared","Exception"))</x:f>
      </x:c>
      <x:c r="K20" s="108"/>
    </x:row>
    <x:row r="21" ht="22" customHeight="1">
      <x:c r="A21" s="108"/>
      <x:c r="B21" s="108"/>
      <x:c r="C21" s="113"/>
      <x:c r="D21" s="114"/>
      <x:c r="E21" s="109"/>
      <x:c r="F21" s="109"/>
      <x:c r="G21" s="110" t="n">
        <x:f>C21*F21</x:f>
        <x:v>0</x:v>
      </x:c>
      <x:c r="H21" s="110" t="n">
        <x:f>G21-E21</x:f>
        <x:v>0</x:v>
      </x:c>
      <x:c r="I21" s="108"/>
      <x:c r="J21" s="111" t="str">
        <x:f>IF(A21="","",IF(ABS(H21)&lt;='General'!$B$11,"Cleared","Exception"))</x:f>
      </x:c>
      <x:c r="K21" s="108"/>
    </x:row>
    <x:row r="22" ht="22" customHeight="1">
      <x:c r="A22" s="108"/>
      <x:c r="B22" s="108"/>
      <x:c r="C22" s="113"/>
      <x:c r="D22" s="114"/>
      <x:c r="E22" s="109"/>
      <x:c r="F22" s="109"/>
      <x:c r="G22" s="110" t="n">
        <x:f>C22*F22</x:f>
        <x:v>0</x:v>
      </x:c>
      <x:c r="H22" s="110" t="n">
        <x:f>G22-E22</x:f>
        <x:v>0</x:v>
      </x:c>
      <x:c r="I22" s="108"/>
      <x:c r="J22" s="111" t="str">
        <x:f>IF(A22="","",IF(ABS(H22)&lt;='General'!$B$11,"Cleared","Exception"))</x:f>
      </x:c>
      <x:c r="K22" s="108"/>
    </x:row>
    <x:row r="23" ht="22" customHeight="1">
      <x:c r="A23" s="108"/>
      <x:c r="B23" s="108"/>
      <x:c r="C23" s="113"/>
      <x:c r="D23" s="114"/>
      <x:c r="E23" s="109"/>
      <x:c r="F23" s="109"/>
      <x:c r="G23" s="110" t="n">
        <x:f>C23*F23</x:f>
        <x:v>0</x:v>
      </x:c>
      <x:c r="H23" s="110" t="n">
        <x:f>G23-E23</x:f>
        <x:v>0</x:v>
      </x:c>
      <x:c r="I23" s="108"/>
      <x:c r="J23" s="111" t="str">
        <x:f>IF(A23="","",IF(ABS(H23)&lt;='General'!$B$11,"Cleared","Exception"))</x:f>
      </x:c>
      <x:c r="K23" s="108"/>
    </x:row>
    <x:row r="24" ht="22" customHeight="1">
      <x:c r="A24" s="108"/>
      <x:c r="B24" s="108"/>
      <x:c r="C24" s="113"/>
      <x:c r="D24" s="114"/>
      <x:c r="E24" s="109"/>
      <x:c r="F24" s="109"/>
      <x:c r="G24" s="110" t="n">
        <x:f>C24*F24</x:f>
        <x:v>0</x:v>
      </x:c>
      <x:c r="H24" s="110" t="n">
        <x:f>G24-E24</x:f>
        <x:v>0</x:v>
      </x:c>
      <x:c r="I24" s="108"/>
      <x:c r="J24" s="111" t="str">
        <x:f>IF(A24="","",IF(ABS(H24)&lt;='General'!$B$11,"Cleared","Exception"))</x:f>
      </x:c>
      <x:c r="K24" s="108"/>
    </x:row>
    <x:row r="25" ht="22" customHeight="1">
      <x:c r="A25" s="108"/>
      <x:c r="B25" s="108"/>
      <x:c r="C25" s="113"/>
      <x:c r="D25" s="114"/>
      <x:c r="E25" s="109"/>
      <x:c r="F25" s="109"/>
      <x:c r="G25" s="110" t="n">
        <x:f>C25*F25</x:f>
        <x:v>0</x:v>
      </x:c>
      <x:c r="H25" s="110" t="n">
        <x:f>G25-E25</x:f>
        <x:v>0</x:v>
      </x:c>
      <x:c r="I25" s="108"/>
      <x:c r="J25" s="111" t="str">
        <x:f>IF(A25="","",IF(ABS(H25)&lt;='General'!$B$11,"Cleared","Exception"))</x:f>
      </x:c>
      <x:c r="K25" s="108"/>
    </x:row>
    <x:row r="26" ht="22" customHeight="1">
      <x:c r="A26" s="108"/>
      <x:c r="B26" s="108"/>
      <x:c r="C26" s="113"/>
      <x:c r="D26" s="114"/>
      <x:c r="E26" s="109"/>
      <x:c r="F26" s="109"/>
      <x:c r="G26" s="110" t="n">
        <x:f>C26*F26</x:f>
        <x:v>0</x:v>
      </x:c>
      <x:c r="H26" s="110" t="n">
        <x:f>G26-E26</x:f>
        <x:v>0</x:v>
      </x:c>
      <x:c r="I26" s="108"/>
      <x:c r="J26" s="111" t="str">
        <x:f>IF(A26="","",IF(ABS(H26)&lt;='General'!$B$11,"Cleared","Exception"))</x:f>
      </x:c>
      <x:c r="K26" s="108"/>
    </x:row>
    <x:row r="27" ht="22" customHeight="1">
      <x:c r="A27" s="108"/>
      <x:c r="B27" s="108"/>
      <x:c r="C27" s="113"/>
      <x:c r="D27" s="114"/>
      <x:c r="E27" s="109"/>
      <x:c r="F27" s="109"/>
      <x:c r="G27" s="110" t="n">
        <x:f>C27*F27</x:f>
        <x:v>0</x:v>
      </x:c>
      <x:c r="H27" s="110" t="n">
        <x:f>G27-E27</x:f>
        <x:v>0</x:v>
      </x:c>
      <x:c r="I27" s="108"/>
      <x:c r="J27" s="111" t="str">
        <x:f>IF(A27="","",IF(ABS(H27)&lt;='General'!$B$11,"Cleared","Exception"))</x:f>
      </x:c>
      <x:c r="K27" s="108"/>
    </x:row>
    <x:row r="28" ht="22" customHeight="1">
      <x:c r="A28" s="108"/>
      <x:c r="B28" s="108"/>
      <x:c r="C28" s="113"/>
      <x:c r="D28" s="114"/>
      <x:c r="E28" s="109"/>
      <x:c r="F28" s="109"/>
      <x:c r="G28" s="110" t="n">
        <x:f>C28*F28</x:f>
        <x:v>0</x:v>
      </x:c>
      <x:c r="H28" s="110" t="n">
        <x:f>G28-E28</x:f>
        <x:v>0</x:v>
      </x:c>
      <x:c r="I28" s="108"/>
      <x:c r="J28" s="111" t="str">
        <x:f>IF(A28="","",IF(ABS(H28)&lt;='General'!$B$11,"Cleared","Exception"))</x:f>
      </x:c>
      <x:c r="K28" s="108"/>
    </x:row>
    <x:row r="29">
      <x:c r="A29" s="1"/>
      <x:c r="B29" s="1"/>
      <x:c r="C29" s="1"/>
      <x:c r="D29" s="1"/>
      <x:c r="E29" s="1"/>
      <x:c r="F29" s="1"/>
      <x:c r="G29" s="1"/>
      <x:c r="H29" s="1"/>
      <x:c r="I29" s="1"/>
      <x:c r="J29" s="1"/>
      <x:c r="K29" s="1"/>
    </x:row>
    <x:row r="30">
      <x:c r="A30" s="95" t="str">
        <x:v>Conclusion: [Document the results, identified or projected misstatements, unresolved matters, and whether the audit objective has been achieved.]</x:v>
      </x:c>
      <x:c r="B30" s="96"/>
      <x:c r="C30" s="96"/>
      <x:c r="D30" s="96"/>
      <x:c r="E30" s="96"/>
      <x:c r="F30" s="96"/>
      <x:c r="G30" s="96"/>
      <x:c r="H30" s="96"/>
      <x:c r="I30" s="96"/>
      <x:c r="J30" s="96"/>
      <x:c r="K30" s="97"/>
    </x:row>
    <x:row r="31">
      <x:c r="A31" s="1"/>
      <x:c r="B31" s="1"/>
      <x:c r="C31" s="1"/>
      <x:c r="D31" s="1"/>
      <x:c r="E31" s="1"/>
      <x:c r="F31" s="1"/>
      <x:c r="G31" s="1"/>
      <x:c r="H31" s="1"/>
      <x:c r="I31" s="1"/>
      <x:c r="J31" s="1"/>
      <x:c r="K31" s="1"/>
    </x:row>
    <x:row r="32">
      <x:c r="A32" s="1"/>
      <x:c r="B32" s="1"/>
      <x:c r="C32" s="1"/>
      <x:c r="D32" s="1"/>
      <x:c r="E32" s="1"/>
      <x:c r="F32" s="1"/>
      <x:c r="G32" s="1"/>
      <x:c r="H32" s="1"/>
      <x:c r="I32" s="1"/>
      <x:c r="J32" s="1"/>
      <x:c r="K32" s="1"/>
    </x:row>
    <x:row r="33">
      <x:c r="A33" s="1"/>
      <x:c r="B33" s="1"/>
      <x:c r="C33" s="1"/>
      <x:c r="D33" s="1"/>
      <x:c r="E33" s="1"/>
      <x:c r="F33" s="1"/>
      <x:c r="G33" s="1"/>
      <x:c r="H33" s="1"/>
      <x:c r="I33" s="1"/>
      <x:c r="J33" s="1"/>
      <x:c r="K33" s="1"/>
    </x:row>
    <x:row r="34">
      <x:c r="A34" s="1"/>
      <x:c r="B34" s="1"/>
      <x:c r="C34" s="1"/>
      <x:c r="D34" s="1"/>
      <x:c r="E34" s="1"/>
      <x:c r="F34" s="1"/>
      <x:c r="G34" s="1"/>
      <x:c r="H34" s="1"/>
      <x:c r="I34" s="1"/>
      <x:c r="J34" s="1"/>
      <x:c r="K34" s="1"/>
    </x:row>
  </x:sheetData>
  <x:mergeCells>
    <x:mergeCell ref="A1:K1"/>
    <x:mergeCell ref="A5:K5"/>
    <x:mergeCell ref="A6:K6"/>
    <x:mergeCell ref="A30:K30"/>
  </x:mergeCells>
  <x:conditionalFormatting sqref="J9:J28">
    <x:cfRule type="containsText" dxfId="14" priority="1" operator="containsText" text="Exception"/>
    <x:cfRule type="containsText" dxfId="15" priority="2" operator="containsText" text="Cleared"/>
  </x:conditionalFormatting>
  <x:dataValidations count="2">
    <x:dataValidation type="list" sqref="J3">
      <x:formula1>"Not started,In progress,Prepared,Reviewed"</x:formula1>
    </x:dataValidation>
    <x:dataValidation type="list" sqref="K9:K28">
      <x:formula1>Tickmarks!$A$4:$A$21</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9" hidden="0" customWidth="1"/>
    <x:col min="2" max="2" width="20" hidden="0" customWidth="1"/>
    <x:col min="3" max="3" width="13" hidden="0" customWidth="1"/>
    <x:col min="4" max="4" width="14" hidden="0" customWidth="1"/>
    <x:col min="5" max="5" width="22" hidden="0" customWidth="1"/>
    <x:col min="6" max="6" width="22" hidden="0" customWidth="1"/>
    <x:col min="7" max="7" width="16" hidden="0" customWidth="1"/>
    <x:col min="8" max="8" width="16" hidden="0" customWidth="1"/>
    <x:col min="9" max="9" width="14" hidden="0" customWidth="1"/>
    <x:col min="10" max="10" width="14" hidden="0" customWidth="1"/>
    <x:col min="11" max="11" width="13" hidden="0" customWidth="1"/>
    <x:col min="12" max="12" width="11" hidden="0" customWidth="1"/>
  </x:cols>
  <x:sheetData>
    <x:row r="1" ht="24" customHeight="1">
      <x:c r="A1" s="4" t="str">
        <x:v>E - Trade Receivables | E-8 Credit balances and unusual items</x:v>
      </x:c>
      <x:c r="B1" s="4"/>
      <x:c r="C1" s="4"/>
      <x:c r="D1" s="4"/>
      <x:c r="E1" s="4"/>
      <x:c r="F1" s="4"/>
      <x:c r="G1" s="4"/>
      <x:c r="H1" s="4"/>
      <x:c r="I1" s="4"/>
      <x:c r="J1" s="4"/>
      <x:c r="K1" s="4"/>
      <x:c r="L1" s="4"/>
    </x:row>
    <x:row r="2">
      <x:c r="A2" s="62" t="str">
        <x:v>Entity</x:v>
      </x:c>
      <x:c r="B2" s="70" t="str">
        <x:f>'General'!B3</x:f>
        <x:v>[Enter entity name]</x:v>
      </x:c>
      <x:c r="C2" s="67" t="str">
        <x:v>Period end</x:v>
      </x:c>
      <x:c r="D2" s="73" t="str">
        <x:f>IF('General'!B4="","",'General'!B4)</x:f>
      </x:c>
      <x:c r="E2" s="67" t="str">
        <x:v>Currency</x:v>
      </x:c>
      <x:c r="F2" s="70" t="str">
        <x:f>'General'!B5</x:f>
        <x:v>GBP</x:v>
      </x:c>
      <x:c r="G2" s="67" t="str">
        <x:v>Prepared by</x:v>
      </x:c>
      <x:c r="H2" s="70" t="str">
        <x:f>'General'!B6</x:f>
        <x:v>[Name / date]</x:v>
      </x:c>
      <x:c r="I2" s="64" t="str">
        <x:v>Reviewed by</x:v>
      </x:c>
      <x:c r="J2" s="57" t="str">
        <x:f>'General'!B7</x:f>
        <x:v>[Name / date]</x:v>
      </x:c>
      <x:c r="K2" s="57"/>
      <x:c r="L2" s="58"/>
    </x:row>
    <x:row r="3">
      <x:c r="A3" s="63" t="str">
        <x:v>WP reference</x:v>
      </x:c>
      <x:c r="B3" s="71" t="str">
        <x:v>E-8</x:v>
      </x:c>
      <x:c r="C3" s="69" t="str">
        <x:v>Planning mat.</x:v>
      </x:c>
      <x:c r="D3" s="74" t="str">
        <x:f>IF('General'!B9="","",'General'!B9)</x:f>
      </x:c>
      <x:c r="E3" s="75" t="str">
        <x:v>Tolerable error</x:v>
      </x:c>
      <x:c r="F3" s="74" t="str">
        <x:f>IF('General'!B10="","",'General'!B10)</x:f>
      </x:c>
      <x:c r="G3" s="75" t="str">
        <x:v>SAD nominal</x:v>
      </x:c>
      <x:c r="H3" s="74" t="str">
        <x:f>IF('General'!B11="","",'General'!B11)</x:f>
      </x:c>
      <x:c r="I3" s="65" t="str">
        <x:v>Status</x:v>
      </x:c>
      <x:c r="J3" s="98" t="str">
        <x:v>Not started</x:v>
      </x:c>
      <x:c r="K3" s="60"/>
      <x:c r="L3" s="61"/>
    </x:row>
    <x:row r="4">
      <x:c r="A4" s="1"/>
      <x:c r="B4" s="1"/>
      <x:c r="C4" s="1"/>
      <x:c r="D4" s="1"/>
      <x:c r="E4" s="1"/>
      <x:c r="F4" s="1"/>
      <x:c r="G4" s="1"/>
      <x:c r="H4" s="1"/>
      <x:c r="I4" s="1"/>
      <x:c r="J4" s="1"/>
      <x:c r="K4" s="1"/>
      <x:c r="L4" s="1"/>
    </x:row>
    <x:row r="5" ht="44" customHeight="1">
      <x:c r="A5" s="78" t="str">
        <x:v>Objective: Identify significant credit balances, non-standard journals and other unusual receivable items; determine whether they are genuine, accurately measured and appropriately classified, and assess their implications for the remaining receivables population and financial-statement presentation.</x:v>
      </x:c>
      <x:c r="B5" s="78"/>
      <x:c r="C5" s="78"/>
      <x:c r="D5" s="78"/>
      <x:c r="E5" s="78"/>
      <x:c r="F5" s="78"/>
      <x:c r="G5" s="78"/>
      <x:c r="H5" s="78"/>
      <x:c r="I5" s="78"/>
      <x:c r="J5" s="78"/>
      <x:c r="K5" s="78"/>
      <x:c r="L5" s="78"/>
    </x:row>
    <x:row r="6" ht="70" customHeight="1">
      <x:c r="A6" s="78" t="str">
        <x:v>Execution guidance: Obtain and reconcile the complete credit-balance and unusual-item listing; use ledger analytics and enquiry to identify large credits, dormant balances, unexpected debits, manual journals, related-party indicators and unusual descriptions; understand whether credits arise from advances, unused credit notes, overpayments, rebates or errors; inspect contracts, invoices, receipts, credit notes and correspondence; assess whether balances should be reclassified as liabilities; test proposed adjustments; search for similar items elsewhere in the ledger; and evaluate whether findings indicate a broader control deficiency, misstatement or need for expanded testing.</x:v>
      </x:c>
      <x:c r="B6" s="78"/>
      <x:c r="C6" s="78"/>
      <x:c r="D6" s="78"/>
      <x:c r="E6" s="78"/>
      <x:c r="F6" s="78"/>
      <x:c r="G6" s="78"/>
      <x:c r="H6" s="78"/>
      <x:c r="I6" s="78"/>
      <x:c r="J6" s="78"/>
      <x:c r="K6" s="78"/>
      <x:c r="L6" s="78"/>
    </x:row>
    <x:row r="7">
      <x:c r="A7" s="1"/>
      <x:c r="B7" s="1"/>
      <x:c r="C7" s="1"/>
      <x:c r="D7" s="1"/>
      <x:c r="E7" s="1"/>
      <x:c r="F7" s="1"/>
      <x:c r="G7" s="1"/>
      <x:c r="H7" s="1"/>
      <x:c r="I7" s="1"/>
      <x:c r="J7" s="1"/>
      <x:c r="K7" s="1"/>
      <x:c r="L7" s="1"/>
    </x:row>
    <x:row r="8" ht="40" customHeight="1">
      <x:c r="A8" s="82" t="str">
        <x:v>Ref.</x:v>
      </x:c>
      <x:c r="B8" s="82" t="str">
        <x:v>Customer / item</x:v>
      </x:c>
      <x:c r="C8" s="82" t="str">
        <x:v>Balance</x:v>
      </x:c>
      <x:c r="D8" s="82" t="str">
        <x:v>Item type</x:v>
      </x:c>
      <x:c r="E8" s="82" t="str">
        <x:v>Reason</x:v>
      </x:c>
      <x:c r="F8" s="82" t="str">
        <x:v>Supporting evidence</x:v>
      </x:c>
      <x:c r="G8" s="82" t="str">
        <x:v>Client classification</x:v>
      </x:c>
      <x:c r="H8" s="82" t="str">
        <x:v>Correct classification</x:v>
      </x:c>
      <x:c r="I8" s="82" t="str">
        <x:v>Client adjustment</x:v>
      </x:c>
      <x:c r="J8" s="82" t="str">
        <x:v>Auditor adjustment</x:v>
      </x:c>
      <x:c r="K8" s="82" t="str">
        <x:v>Result</x:v>
      </x:c>
      <x:c r="L8" s="82" t="str">
        <x:v>Tickmarks</x:v>
      </x:c>
    </x:row>
    <x:row r="9" ht="22" customHeight="1">
      <x:c r="A9" s="108"/>
      <x:c r="B9" s="108"/>
      <x:c r="C9" s="109"/>
      <x:c r="D9" s="108"/>
      <x:c r="E9" s="108"/>
      <x:c r="F9" s="108"/>
      <x:c r="G9" s="108"/>
      <x:c r="H9" s="108"/>
      <x:c r="I9" s="109"/>
      <x:c r="J9" s="109"/>
      <x:c r="K9" s="111" t="str">
        <x:f>IF(B9="","",IF(AND(G9=H9,ABS(J9-I9)&lt;='General'!$B$11),"Cleared","Exception"))</x:f>
      </x:c>
      <x:c r="L9" s="108"/>
    </x:row>
    <x:row r="10" ht="22" customHeight="1">
      <x:c r="A10" s="108"/>
      <x:c r="B10" s="108"/>
      <x:c r="C10" s="109"/>
      <x:c r="D10" s="108"/>
      <x:c r="E10" s="108"/>
      <x:c r="F10" s="108"/>
      <x:c r="G10" s="108"/>
      <x:c r="H10" s="108"/>
      <x:c r="I10" s="109"/>
      <x:c r="J10" s="109"/>
      <x:c r="K10" s="111" t="str">
        <x:f>IF(B10="","",IF(AND(G10=H10,ABS(J10-I10)&lt;='General'!$B$11),"Cleared","Exception"))</x:f>
      </x:c>
      <x:c r="L10" s="108"/>
    </x:row>
    <x:row r="11" ht="22" customHeight="1">
      <x:c r="A11" s="108"/>
      <x:c r="B11" s="108"/>
      <x:c r="C11" s="109"/>
      <x:c r="D11" s="108"/>
      <x:c r="E11" s="108"/>
      <x:c r="F11" s="108"/>
      <x:c r="G11" s="108"/>
      <x:c r="H11" s="108"/>
      <x:c r="I11" s="109"/>
      <x:c r="J11" s="109"/>
      <x:c r="K11" s="111" t="str">
        <x:f>IF(B11="","",IF(AND(G11=H11,ABS(J11-I11)&lt;='General'!$B$11),"Cleared","Exception"))</x:f>
      </x:c>
      <x:c r="L11" s="108"/>
    </x:row>
    <x:row r="12" ht="22" customHeight="1">
      <x:c r="A12" s="108"/>
      <x:c r="B12" s="108"/>
      <x:c r="C12" s="109"/>
      <x:c r="D12" s="108"/>
      <x:c r="E12" s="108"/>
      <x:c r="F12" s="108"/>
      <x:c r="G12" s="108"/>
      <x:c r="H12" s="108"/>
      <x:c r="I12" s="109"/>
      <x:c r="J12" s="109"/>
      <x:c r="K12" s="111" t="str">
        <x:f>IF(B12="","",IF(AND(G12=H12,ABS(J12-I12)&lt;='General'!$B$11),"Cleared","Exception"))</x:f>
      </x:c>
      <x:c r="L12" s="108"/>
    </x:row>
    <x:row r="13" ht="22" customHeight="1">
      <x:c r="A13" s="108"/>
      <x:c r="B13" s="108"/>
      <x:c r="C13" s="109"/>
      <x:c r="D13" s="108"/>
      <x:c r="E13" s="108"/>
      <x:c r="F13" s="108"/>
      <x:c r="G13" s="108"/>
      <x:c r="H13" s="108"/>
      <x:c r="I13" s="109"/>
      <x:c r="J13" s="109"/>
      <x:c r="K13" s="111" t="str">
        <x:f>IF(B13="","",IF(AND(G13=H13,ABS(J13-I13)&lt;='General'!$B$11),"Cleared","Exception"))</x:f>
      </x:c>
      <x:c r="L13" s="108"/>
    </x:row>
    <x:row r="14" ht="22" customHeight="1">
      <x:c r="A14" s="108"/>
      <x:c r="B14" s="108"/>
      <x:c r="C14" s="109"/>
      <x:c r="D14" s="108"/>
      <x:c r="E14" s="108"/>
      <x:c r="F14" s="108"/>
      <x:c r="G14" s="108"/>
      <x:c r="H14" s="108"/>
      <x:c r="I14" s="109"/>
      <x:c r="J14" s="109"/>
      <x:c r="K14" s="111" t="str">
        <x:f>IF(B14="","",IF(AND(G14=H14,ABS(J14-I14)&lt;='General'!$B$11),"Cleared","Exception"))</x:f>
      </x:c>
      <x:c r="L14" s="108"/>
    </x:row>
    <x:row r="15" ht="22" customHeight="1">
      <x:c r="A15" s="108"/>
      <x:c r="B15" s="108"/>
      <x:c r="C15" s="109"/>
      <x:c r="D15" s="108"/>
      <x:c r="E15" s="108"/>
      <x:c r="F15" s="108"/>
      <x:c r="G15" s="108"/>
      <x:c r="H15" s="108"/>
      <x:c r="I15" s="109"/>
      <x:c r="J15" s="109"/>
      <x:c r="K15" s="111" t="str">
        <x:f>IF(B15="","",IF(AND(G15=H15,ABS(J15-I15)&lt;='General'!$B$11),"Cleared","Exception"))</x:f>
      </x:c>
      <x:c r="L15" s="108"/>
    </x:row>
    <x:row r="16" ht="22" customHeight="1">
      <x:c r="A16" s="108"/>
      <x:c r="B16" s="108"/>
      <x:c r="C16" s="109"/>
      <x:c r="D16" s="108"/>
      <x:c r="E16" s="108"/>
      <x:c r="F16" s="108"/>
      <x:c r="G16" s="108"/>
      <x:c r="H16" s="108"/>
      <x:c r="I16" s="109"/>
      <x:c r="J16" s="109"/>
      <x:c r="K16" s="111" t="str">
        <x:f>IF(B16="","",IF(AND(G16=H16,ABS(J16-I16)&lt;='General'!$B$11),"Cleared","Exception"))</x:f>
      </x:c>
      <x:c r="L16" s="108"/>
    </x:row>
    <x:row r="17" ht="22" customHeight="1">
      <x:c r="A17" s="108"/>
      <x:c r="B17" s="108"/>
      <x:c r="C17" s="109"/>
      <x:c r="D17" s="108"/>
      <x:c r="E17" s="108"/>
      <x:c r="F17" s="108"/>
      <x:c r="G17" s="108"/>
      <x:c r="H17" s="108"/>
      <x:c r="I17" s="109"/>
      <x:c r="J17" s="109"/>
      <x:c r="K17" s="111" t="str">
        <x:f>IF(B17="","",IF(AND(G17=H17,ABS(J17-I17)&lt;='General'!$B$11),"Cleared","Exception"))</x:f>
      </x:c>
      <x:c r="L17" s="108"/>
    </x:row>
    <x:row r="18" ht="22" customHeight="1">
      <x:c r="A18" s="108"/>
      <x:c r="B18" s="108"/>
      <x:c r="C18" s="109"/>
      <x:c r="D18" s="108"/>
      <x:c r="E18" s="108"/>
      <x:c r="F18" s="108"/>
      <x:c r="G18" s="108"/>
      <x:c r="H18" s="108"/>
      <x:c r="I18" s="109"/>
      <x:c r="J18" s="109"/>
      <x:c r="K18" s="111" t="str">
        <x:f>IF(B18="","",IF(AND(G18=H18,ABS(J18-I18)&lt;='General'!$B$11),"Cleared","Exception"))</x:f>
      </x:c>
      <x:c r="L18" s="108"/>
    </x:row>
    <x:row r="19" ht="22" customHeight="1">
      <x:c r="A19" s="108"/>
      <x:c r="B19" s="108"/>
      <x:c r="C19" s="109"/>
      <x:c r="D19" s="108"/>
      <x:c r="E19" s="108"/>
      <x:c r="F19" s="108"/>
      <x:c r="G19" s="108"/>
      <x:c r="H19" s="108"/>
      <x:c r="I19" s="109"/>
      <x:c r="J19" s="109"/>
      <x:c r="K19" s="111" t="str">
        <x:f>IF(B19="","",IF(AND(G19=H19,ABS(J19-I19)&lt;='General'!$B$11),"Cleared","Exception"))</x:f>
      </x:c>
      <x:c r="L19" s="108"/>
    </x:row>
    <x:row r="20" ht="22" customHeight="1">
      <x:c r="A20" s="108"/>
      <x:c r="B20" s="108"/>
      <x:c r="C20" s="109"/>
      <x:c r="D20" s="108"/>
      <x:c r="E20" s="108"/>
      <x:c r="F20" s="108"/>
      <x:c r="G20" s="108"/>
      <x:c r="H20" s="108"/>
      <x:c r="I20" s="109"/>
      <x:c r="J20" s="109"/>
      <x:c r="K20" s="111" t="str">
        <x:f>IF(B20="","",IF(AND(G20=H20,ABS(J20-I20)&lt;='General'!$B$11),"Cleared","Exception"))</x:f>
      </x:c>
      <x:c r="L20" s="108"/>
    </x:row>
    <x:row r="21" ht="22" customHeight="1">
      <x:c r="A21" s="108"/>
      <x:c r="B21" s="108"/>
      <x:c r="C21" s="109"/>
      <x:c r="D21" s="108"/>
      <x:c r="E21" s="108"/>
      <x:c r="F21" s="108"/>
      <x:c r="G21" s="108"/>
      <x:c r="H21" s="108"/>
      <x:c r="I21" s="109"/>
      <x:c r="J21" s="109"/>
      <x:c r="K21" s="111" t="str">
        <x:f>IF(B21="","",IF(AND(G21=H21,ABS(J21-I21)&lt;='General'!$B$11),"Cleared","Exception"))</x:f>
      </x:c>
      <x:c r="L21" s="108"/>
    </x:row>
    <x:row r="22" ht="22" customHeight="1">
      <x:c r="A22" s="108"/>
      <x:c r="B22" s="108"/>
      <x:c r="C22" s="109"/>
      <x:c r="D22" s="108"/>
      <x:c r="E22" s="108"/>
      <x:c r="F22" s="108"/>
      <x:c r="G22" s="108"/>
      <x:c r="H22" s="108"/>
      <x:c r="I22" s="109"/>
      <x:c r="J22" s="109"/>
      <x:c r="K22" s="111" t="str">
        <x:f>IF(B22="","",IF(AND(G22=H22,ABS(J22-I22)&lt;='General'!$B$11),"Cleared","Exception"))</x:f>
      </x:c>
      <x:c r="L22" s="108"/>
    </x:row>
    <x:row r="23" ht="22" customHeight="1">
      <x:c r="A23" s="108"/>
      <x:c r="B23" s="108"/>
      <x:c r="C23" s="109"/>
      <x:c r="D23" s="108"/>
      <x:c r="E23" s="108"/>
      <x:c r="F23" s="108"/>
      <x:c r="G23" s="108"/>
      <x:c r="H23" s="108"/>
      <x:c r="I23" s="109"/>
      <x:c r="J23" s="109"/>
      <x:c r="K23" s="111" t="str">
        <x:f>IF(B23="","",IF(AND(G23=H23,ABS(J23-I23)&lt;='General'!$B$11),"Cleared","Exception"))</x:f>
      </x:c>
      <x:c r="L23" s="108"/>
    </x:row>
    <x:row r="24" ht="22" customHeight="1">
      <x:c r="A24" s="108"/>
      <x:c r="B24" s="108"/>
      <x:c r="C24" s="109"/>
      <x:c r="D24" s="108"/>
      <x:c r="E24" s="108"/>
      <x:c r="F24" s="108"/>
      <x:c r="G24" s="108"/>
      <x:c r="H24" s="108"/>
      <x:c r="I24" s="109"/>
      <x:c r="J24" s="109"/>
      <x:c r="K24" s="111" t="str">
        <x:f>IF(B24="","",IF(AND(G24=H24,ABS(J24-I24)&lt;='General'!$B$11),"Cleared","Exception"))</x:f>
      </x:c>
      <x:c r="L24" s="108"/>
    </x:row>
    <x:row r="25" ht="22" customHeight="1">
      <x:c r="A25" s="108"/>
      <x:c r="B25" s="108"/>
      <x:c r="C25" s="109"/>
      <x:c r="D25" s="108"/>
      <x:c r="E25" s="108"/>
      <x:c r="F25" s="108"/>
      <x:c r="G25" s="108"/>
      <x:c r="H25" s="108"/>
      <x:c r="I25" s="109"/>
      <x:c r="J25" s="109"/>
      <x:c r="K25" s="111" t="str">
        <x:f>IF(B25="","",IF(AND(G25=H25,ABS(J25-I25)&lt;='General'!$B$11),"Cleared","Exception"))</x:f>
      </x:c>
      <x:c r="L25" s="108"/>
    </x:row>
    <x:row r="26" ht="22" customHeight="1">
      <x:c r="A26" s="108"/>
      <x:c r="B26" s="108"/>
      <x:c r="C26" s="109"/>
      <x:c r="D26" s="108"/>
      <x:c r="E26" s="108"/>
      <x:c r="F26" s="108"/>
      <x:c r="G26" s="108"/>
      <x:c r="H26" s="108"/>
      <x:c r="I26" s="109"/>
      <x:c r="J26" s="109"/>
      <x:c r="K26" s="111" t="str">
        <x:f>IF(B26="","",IF(AND(G26=H26,ABS(J26-I26)&lt;='General'!$B$11),"Cleared","Exception"))</x:f>
      </x:c>
      <x:c r="L26" s="108"/>
    </x:row>
    <x:row r="27" ht="22" customHeight="1">
      <x:c r="A27" s="108"/>
      <x:c r="B27" s="108"/>
      <x:c r="C27" s="109"/>
      <x:c r="D27" s="108"/>
      <x:c r="E27" s="108"/>
      <x:c r="F27" s="108"/>
      <x:c r="G27" s="108"/>
      <x:c r="H27" s="108"/>
      <x:c r="I27" s="109"/>
      <x:c r="J27" s="109"/>
      <x:c r="K27" s="111" t="str">
        <x:f>IF(B27="","",IF(AND(G27=H27,ABS(J27-I27)&lt;='General'!$B$11),"Cleared","Exception"))</x:f>
      </x:c>
      <x:c r="L27" s="108"/>
    </x:row>
    <x:row r="28" ht="22" customHeight="1">
      <x:c r="A28" s="108"/>
      <x:c r="B28" s="108"/>
      <x:c r="C28" s="109"/>
      <x:c r="D28" s="108"/>
      <x:c r="E28" s="108"/>
      <x:c r="F28" s="108"/>
      <x:c r="G28" s="108"/>
      <x:c r="H28" s="108"/>
      <x:c r="I28" s="109"/>
      <x:c r="J28" s="109"/>
      <x:c r="K28" s="111" t="str">
        <x:f>IF(B28="","",IF(AND(G28=H28,ABS(J28-I28)&lt;='General'!$B$11),"Cleared","Exception"))</x:f>
      </x:c>
      <x:c r="L28" s="108"/>
    </x:row>
    <x:row r="29">
      <x:c r="A29" s="1"/>
      <x:c r="B29" s="1"/>
      <x:c r="C29" s="1"/>
      <x:c r="D29" s="1"/>
      <x:c r="E29" s="1"/>
      <x:c r="F29" s="1"/>
      <x:c r="G29" s="1"/>
      <x:c r="H29" s="1"/>
      <x:c r="I29" s="1"/>
      <x:c r="J29" s="1"/>
      <x:c r="K29" s="1"/>
      <x:c r="L29" s="1"/>
    </x:row>
    <x:row r="30">
      <x:c r="A30" s="95" t="str">
        <x:v>Conclusion: [Document the results, identified or projected misstatements, unresolved matters, and whether the audit objective has been achieved.]</x:v>
      </x:c>
      <x:c r="B30" s="96"/>
      <x:c r="C30" s="96"/>
      <x:c r="D30" s="96"/>
      <x:c r="E30" s="96"/>
      <x:c r="F30" s="96"/>
      <x:c r="G30" s="96"/>
      <x:c r="H30" s="96"/>
      <x:c r="I30" s="96"/>
      <x:c r="J30" s="96"/>
      <x:c r="K30" s="96"/>
      <x:c r="L30" s="97"/>
    </x:row>
    <x:row r="31">
      <x:c r="A31" s="1"/>
      <x:c r="B31" s="1"/>
      <x:c r="C31" s="1"/>
      <x:c r="D31" s="1"/>
      <x:c r="E31" s="1"/>
      <x:c r="F31" s="1"/>
      <x:c r="G31" s="1"/>
      <x:c r="H31" s="1"/>
      <x:c r="I31" s="1"/>
      <x:c r="J31" s="1"/>
      <x:c r="K31" s="1"/>
      <x:c r="L31" s="1"/>
    </x:row>
    <x:row r="32">
      <x:c r="A32" s="1"/>
      <x:c r="B32" s="1"/>
      <x:c r="C32" s="1"/>
      <x:c r="D32" s="1"/>
      <x:c r="E32" s="1"/>
      <x:c r="F32" s="1"/>
      <x:c r="G32" s="1"/>
      <x:c r="H32" s="1"/>
      <x:c r="I32" s="1"/>
      <x:c r="J32" s="1"/>
      <x:c r="K32" s="1"/>
      <x:c r="L32" s="1"/>
    </x:row>
    <x:row r="33">
      <x:c r="A33" s="1"/>
      <x:c r="B33" s="1"/>
      <x:c r="C33" s="1"/>
      <x:c r="D33" s="1"/>
      <x:c r="E33" s="1"/>
      <x:c r="F33" s="1"/>
      <x:c r="G33" s="1"/>
      <x:c r="H33" s="1"/>
      <x:c r="I33" s="1"/>
      <x:c r="J33" s="1"/>
      <x:c r="K33" s="1"/>
      <x:c r="L33" s="1"/>
    </x:row>
    <x:row r="34">
      <x:c r="A34" s="1"/>
      <x:c r="B34" s="1"/>
      <x:c r="C34" s="1"/>
      <x:c r="D34" s="1"/>
      <x:c r="E34" s="1"/>
      <x:c r="F34" s="1"/>
      <x:c r="G34" s="1"/>
      <x:c r="H34" s="1"/>
      <x:c r="I34" s="1"/>
      <x:c r="J34" s="1"/>
      <x:c r="K34" s="1"/>
      <x:c r="L34" s="1"/>
    </x:row>
  </x:sheetData>
  <x:mergeCells>
    <x:mergeCell ref="A1:L1"/>
    <x:mergeCell ref="A5:L5"/>
    <x:mergeCell ref="A6:L6"/>
    <x:mergeCell ref="A30:L30"/>
  </x:mergeCells>
  <x:conditionalFormatting sqref="K9:K28">
    <x:cfRule type="containsText" dxfId="16" priority="1" operator="containsText" text="Exception"/>
    <x:cfRule type="containsText" dxfId="17" priority="2" operator="containsText" text="Cleared"/>
  </x:conditionalFormatting>
  <x:dataValidations count="3">
    <x:dataValidation type="list" sqref="J3">
      <x:formula1>"Not started,In progress,Prepared,Reviewed"</x:formula1>
    </x:dataValidation>
    <x:dataValidation type="list" sqref="D9:D28">
      <x:formula1>"Credit balance,Unusual debit,Non-standard journal,Other"</x:formula1>
    </x:dataValidation>
    <x:dataValidation type="list" sqref="L9:L28">
      <x:formula1>Tickmarks!$A$4:$A$21</x:formula1>
    </x:dataValidation>
  </x:dataValidations>
  <x:pageMargins left="0.7" right="0.7" top="0.75" bottom="0.75" header="0.3" footer="0.3"/>
</x:worksheet>
</file>